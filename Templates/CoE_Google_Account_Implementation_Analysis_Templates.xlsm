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GOOGLE FULL ANALYSIS/coe-full-analysis/"/>
    </mc:Choice>
  </mc:AlternateContent>
  <xr:revisionPtr revIDLastSave="18" documentId="8_{D9C56B40-7830-4D49-8C81-8BCDE06976C7}" xr6:coauthVersionLast="47" xr6:coauthVersionMax="47" xr10:uidLastSave="{0C8EA1F1-3C99-4450-9C8B-9CCB4BC09BC9}"/>
  <bookViews>
    <workbookView xWindow="-28920" yWindow="-15" windowWidth="29040" windowHeight="15720" activeTab="1" xr2:uid="{00000000-000D-0000-FFFF-FFFF00000000}"/>
  </bookViews>
  <sheets>
    <sheet name="Account Implement_Analysis" sheetId="1" r:id="rId1"/>
    <sheet name="Account Implement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7" i="2"/>
  <c r="E13" i="3" s="1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A12" i="1" l="1" a="1"/>
  <c r="A12" i="1" s="1"/>
  <c r="F26" i="3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<sst xmlns="http://schemas.openxmlformats.org/spreadsheetml/2006/main" count="330" uniqueCount="247">
  <si>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</si>
  <si>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</si>
  <si>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</si>
  <si>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</si>
  <si>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</si>
  <si>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</si>
  <si>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</si>
  <si>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</si>
  <si>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</si>
  <si>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</si>
  <si>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</si>
  <si>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</si>
  <si>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</si>
  <si>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</si>
  <si>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</si>
  <si>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</si>
  <si>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</si>
  <si>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</si>
  <si>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</si>
  <si>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</si>
  <si>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</si>
  <si>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</si>
  <si>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</si>
  <si>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</si>
  <si>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</si>
  <si>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</si>
  <si>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</si>
  <si>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</si>
  <si>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</si>
  <si>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</si>
  <si>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</si>
  <si>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</si>
  <si>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</si>
  <si>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</si>
  <si>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</si>
  <si>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</si>
  <si>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</si>
  <si>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</si>
  <si>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53588A - US - ZooPro — Account Health Analysis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</si>
  <si>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</si>
  <si>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</si>
  <si>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</si>
  <si>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</si>
  <si>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</si>
  <si>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</si>
  <si>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</si>
  <si>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</si>
  <si>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</si>
  <si>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v1.0</t>
  </si>
  <si>
    <t xml:space="preserve">Implementation Version &gt; </t>
  </si>
  <si>
    <t>Implementation Grade</t>
  </si>
  <si>
    <t>Access &amp; Connectivity</t>
  </si>
  <si>
    <t>Feed &amp; Data Sources</t>
  </si>
  <si>
    <t>Campaign Setup</t>
  </si>
  <si>
    <t>PMAX Setup</t>
  </si>
  <si>
    <t>Shopping Setup</t>
  </si>
  <si>
    <t>Ad Extensions &amp; Quality</t>
  </si>
  <si>
    <t>Salesforce Access Confirmed</t>
  </si>
  <si>
    <t>GMC + GA4 Linked to Google Ads</t>
  </si>
  <si>
    <t>Conversion Tag Active &amp; Firing</t>
  </si>
  <si>
    <t>Billing Status Active</t>
  </si>
  <si>
    <t>Policy Violations = Zero</t>
  </si>
  <si>
    <t>Product Disapproval Rate &lt; 10%</t>
  </si>
  <si>
    <t>GMC Feed Duplication Check</t>
  </si>
  <si>
    <t>Quartile Portal Feed Active</t>
  </si>
  <si>
    <t>Shopify / E-commerce Platform Connected</t>
  </si>
  <si>
    <t>Data Sources Confirmed in Google Ads</t>
  </si>
  <si>
    <t>Naming Conventions (QT Standard)</t>
  </si>
  <si>
    <t>Location Targeting Set to Presence Only</t>
  </si>
  <si>
    <t>Location Segmentation by State/Region</t>
  </si>
  <si>
    <t>Auto-Apply Recommendations Disabled</t>
  </si>
  <si>
    <t>Final URL Correct &amp; Active</t>
  </si>
  <si>
    <t>Promotion End Dates Correct</t>
  </si>
  <si>
    <t>PMAX Automation Settings Disabled</t>
  </si>
  <si>
    <t>PMAX Audiences Configured (min requirements)</t>
  </si>
  <si>
    <t>PMAX Search Themes Set (min 10)</t>
  </si>
  <si>
    <t>PMAX Images Present &amp; Approved</t>
  </si>
  <si>
    <t>PMAX Listing Groups Eligible</t>
  </si>
  <si>
    <t>Shopping Campaign Priority Correct</t>
  </si>
  <si>
    <t>Negative Lists Created &amp; Assigned</t>
  </si>
  <si>
    <t>Sitelink Extensions (min 4)</t>
  </si>
  <si>
    <t>Business Name Present</t>
  </si>
  <si>
    <t>Logo Asset Approved (min 1)</t>
  </si>
  <si>
    <t>Confirm Quartile has full access to the client's Salesforce record and all required fields are populated.</t>
  </si>
  <si>
    <t>Salesforce is the SSOT for client constraints, goals, and CS data. Inaccessible records break the entire agent pipeline.</t>
  </si>
  <si>
    <t>Salesforce &gt; Account &gt; Project. Confirm access and that Profile ID, Budget, and ROAS Goal fields are populated.</t>
  </si>
  <si>
    <t>Observed: Salesforce access = {SF_access}. Profile ID = {Profile_ID_status}.</t>
  </si>
  <si>
    <t>Without Salesforce access, the agent cannot read targets, constraints, or CS context — all pillar evaluations degrade.</t>
  </si>
  <si>
    <t>Salesforce — Manual Check</t>
  </si>
  <si>
    <t>Confirm Google Merchant Center and GA4 property are linked to the Google Ads account.</t>
  </si>
  <si>
    <t>GMC feeds Shopping/PMAX product data. GA4 provides total sales, audience signals, and TACoS reporting.</t>
  </si>
  <si>
    <t>Google Ads &gt; Tools &gt; Linked Accounts. Verify both GMC and GA4 connections show as Active.</t>
  </si>
  <si>
    <t>Observed: GMC linked = {GMC_status}. GA4 linked = {GA4_status}.</t>
  </si>
  <si>
    <t>Disconnected GMC pauses all Shopping/PMAX product ads. Missing GA4 removes audience targeting and total-sales visibility.</t>
  </si>
  <si>
    <t>Google Ads UI — Manual Check</t>
  </si>
  <si>
    <t>Confirm at least one conversion tag is active, firing correctly, and recording conversions.</t>
  </si>
  <si>
    <t>Smart Bidding requires conversion signal. A broken or inactive tag means all automated bid strategies are flying blind.</t>
  </si>
  <si>
    <t>Google Ads &gt; Tools &gt; Conversions. Confirm status = Active, last conversion date is recent, no 'Inactive' or 'Unverified' tags.</t>
  </si>
  <si>
    <t>Observed: Conversion tag status = {Tag_status}. Last recorded conversion: {Last_conversion}.</t>
  </si>
  <si>
    <t>A broken conversion tag disables Smart Bidding signal entirely. This is the most critical technical control in the account.</t>
  </si>
  <si>
    <t>Confirm Stripe subscription is active with no payment failures or overdue invoices.</t>
  </si>
  <si>
    <t>A billing failure pauses all campaigns immediately. Early detection prevents revenue loss and client escalation.</t>
  </si>
  <si>
    <t>Tab 15_Stripe_and_Account_Info: status = 'active', no overdue invoices.</t>
  </si>
  <si>
    <t>Observed: Billing status = {Billing_status}. Days until due = {Days_until_due}. Last payment = {Last_payment}.</t>
  </si>
  <si>
    <t>Billing failures cause instant campaign suspension. Zero tolerance — this must always be active.</t>
  </si>
  <si>
    <t>15_Stripe_and_Account_Info</t>
  </si>
  <si>
    <t>Confirm no active policy violations exist in the Google Ads account.</t>
  </si>
  <si>
    <t>Policy violations can trigger account suspension, ad disapprovals, and impression share loss at scale.</t>
  </si>
  <si>
    <t>Google Ads &gt; Policy Manager. Confirm zero active violations. Flag any 'Limited' or 'Disapproved' account-level policies.</t>
  </si>
  <si>
    <t>Observed: Active policy violations = {Violation_count}. Status: {Policy_status}.</t>
  </si>
  <si>
    <t>Unresolved policy violations restrict ad serving and, in severe cases, result in full account suspension.</t>
  </si>
  <si>
    <t>Confirm fewer than 10% of GMC products are disapproved.</t>
  </si>
  <si>
    <t>Disapproved products cannot serve in Shopping or PMAX. Above 30% disapprovals significantly caps account revenue potential.</t>
  </si>
  <si>
    <t>GMC &gt; Overview &gt; Products Dashboard. Count approved vs disapproved. Flag if disapproval rate exceeds 10%.</t>
  </si>
  <si>
    <t>Observed: Approved = {Approved_count}. Disapproved = {Disapproved_count}. Disapproval rate = {Disapproval_pct}%.</t>
  </si>
  <si>
    <t>High product disapproval rates directly reduce the addressable inventory for Shopping and PMAX campaigns.</t>
  </si>
  <si>
    <t>Google Merchant Center — Manual Check</t>
  </si>
  <si>
    <t>Confirm there are no duplicate product feeds being submitted to Google Merchant Center.</t>
  </si>
  <si>
    <t>Duplicate feeds create product conflicts, attribute overwrites, and unpredictable disapprovals in GMC.</t>
  </si>
  <si>
    <t>GMC &gt; Data Sources. Confirm only one primary feed source is active. Flag duplicate or conflicting supplemental feeds.</t>
  </si>
  <si>
    <t>Observed: Active data sources = {Source_count}. Duplicate sources detected = {Duplicate_flag}.</t>
  </si>
  <si>
    <t>Feed duplication causes GMC attribute conflicts that can lead to mass disapprovals and inconsistent product data.</t>
  </si>
  <si>
    <t>Confirm the Quartile Portal is actively sending and processing the product feed.</t>
  </si>
  <si>
    <t>If Quartile's feed pipeline breaks, product titles, custom labels, and transformers stop updating, degrading Shopping performance silently.</t>
  </si>
  <si>
    <t>QT Portal &gt; Google Channel &gt; Feed Export &gt; Last Completed. Flag if last successful export is more than 48 hours ago.</t>
  </si>
  <si>
    <t>Observed: Last QT Portal feed export = {Last_feed_export}. Status = {Feed_status}.</t>
  </si>
  <si>
    <t>A stale feed means product data (titles, labels, availability) in Google is outdated. Performance degradation is silent but compounding.</t>
  </si>
  <si>
    <t>QT Portal — Manual Check</t>
  </si>
  <si>
    <t>Confirm the client's e-commerce platform is connected to Quartile Portal.</t>
  </si>
  <si>
    <t>Platform connection enables total sales tracking and TACoS calculation. Without it, organic sales visibility is zero.</t>
  </si>
  <si>
    <t>Tab 15_Stripe_and_Account_Info: IsConnect (col 9). Also check QT Portal &gt; Settings &gt; Connected Channels.</t>
  </si>
  <si>
    <t>Observed: Platform connection = {Connection_status}. Platform type = {Platform_type}.</t>
  </si>
  <si>
    <t>A disconnected platform means total sales cannot be tracked — TACoS, organic sales, and full-funnel reporting are all blind.</t>
  </si>
  <si>
    <t>15_Stripe_and_Account_Info — Manual Check</t>
  </si>
  <si>
    <t>Confirm all required data sources (GMC, GA4, Quartile feed) are connected and sending data into Google Ads.</t>
  </si>
  <si>
    <t>Data source gaps create reporting blind spots and prevent Smart Bidding from receiving complete conversion signals.</t>
  </si>
  <si>
    <t>Google Ads &gt; Tools &gt; Data Manager. Confirm all connected sources show 'Active' and 'Receiving data'.</t>
  </si>
  <si>
    <t>Observed: Active data sources = {Source_list}. Any sources showing errors = {Error_sources}.</t>
  </si>
  <si>
    <t>Incomplete data sources degrade Smart Bidding signal quality and prevent full-funnel attribution.</t>
  </si>
  <si>
    <t>Confirm active campaigns follow Quartile's standard naming convention (QT_PMax_, QT_Search_, QT_Shopping_).</t>
  </si>
  <si>
    <t>Consistent naming enables automated parsing, reporting segmentation, and agent-level campaign identification.</t>
  </si>
  <si>
    <t>Tab 13_Campaign_Gold_Metrics: CampaignName column. Flag campaigns not starting with QT_ prefix.</t>
  </si>
  <si>
    <t>Observed: {QT_named_count} of {Active_campaign_count} campaigns ({QT_pct}%) follow QT naming convention.</t>
  </si>
  <si>
    <t>Non-standard campaign names break automated reporting pipelines and make audit analysis unreliable.</t>
  </si>
  <si>
    <t>13_Campaign_Gold_Metrics</t>
  </si>
  <si>
    <t>Confirm all campaigns are set to 'Presence' location targeting, not 'Presence or Interest'.</t>
  </si>
  <si>
    <t>'Presence or Interest' serves ads to users who searched for a location but aren't physically there — wastes budget on irrelevant traffic.</t>
  </si>
  <si>
    <t>Google Ads &gt; Campaign Settings &gt; Locations &gt; Location Options. Confirm 'Presence' is selected for all active campaigns.</t>
  </si>
  <si>
    <t>Observed: Location targeting setting = {Location_setting}. Campaigns with 'Presence or Interest' = {Incorrect_location_count}.</t>
  </si>
  <si>
    <t>Incorrect location targeting inflates impressions from irrelevant geographic areas, degrading CTR and wasting budget.</t>
  </si>
  <si>
    <t>Confirm campaigns are segmented by geographic regions or states where relevant.</t>
  </si>
  <si>
    <t>Geographic segmentation enables performance-based bid adjustments and efficient budget allocation by region.</t>
  </si>
  <si>
    <t>Google Ads &gt; Audiences, Keywords &amp; Content &gt; Locations. Confirm state-level or region-level targeting is present.</t>
  </si>
  <si>
    <t>Observed: Geographic segments configured = {Geo_segment_count}. Location exclusions active = {Exclusion_flag}.</t>
  </si>
  <si>
    <t>Without location segmentation, high-converting regions and low-converting regions receive identical bids — wasting spend.</t>
  </si>
  <si>
    <t>Confirm Auto-Apply recommendations are turned off or limited to approved types only.</t>
  </si>
  <si>
    <t>Auto-apply can make unwanted structural changes (keyword additions, bid overrides) that undermine Quartile's strategy.</t>
  </si>
  <si>
    <t>Google Ads &gt; Recommendations &gt; Auto-Apply Settings. Confirm only approved auto-applies are enabled (if any).</t>
  </si>
  <si>
    <t>Observed: Auto-apply status = {Auto_apply_status}. Active auto-applies = {Active_auto_apply_list}.</t>
  </si>
  <si>
    <t>Unrestricted auto-apply recommendations can silently override bid strategies, add irrelevant keywords, and disrupt campaign structure.</t>
  </si>
  <si>
    <t>Confirm all active ads have correct, live Final URLs pointing to the intended landing pages.</t>
  </si>
  <si>
    <t>Broken or incorrect Final URLs result in ad disapprovals, wasted clicks, and zero conversions from paid traffic.</t>
  </si>
  <si>
    <t>Google Ads &gt; Ads. Filter for active ads. Check Final URL column — flag any 404s, redirects, or homepage defaults.</t>
  </si>
  <si>
    <t>Observed: Ads with Final URL issues = {URL_issue_count}. Sample flagged URLs: {Sample_URLs}.</t>
  </si>
  <si>
    <t>Broken Final URLs waste every click that hits them. This is a direct revenue leakage point.</t>
  </si>
  <si>
    <t>Confirm any active promotional assets have valid start/end dates matching current live promotions.</t>
  </si>
  <si>
    <t>Expired promotions still serving mislead users and can violate Google's promotional content policies.</t>
  </si>
  <si>
    <t>Google Ads &gt; Assets &gt; Promotions. Confirm end dates are current. Flag promotions with past end dates still active.</t>
  </si>
  <si>
    <t>Observed: Active promotions = {Promo_count}. Expired promotions still live = {Expired_count}.</t>
  </si>
  <si>
    <t>Serving expired promotions misleads users, reduces conversion rates, and risks policy violations.</t>
  </si>
  <si>
    <t>Confirm all PMAX automation settings are configured per Quartile standards.</t>
  </si>
  <si>
    <t>Unconfigured PMAX automations allow Google to expand targeting outside intended audiences, wasting budget.</t>
  </si>
  <si>
    <t>Google Ads &gt; Campaigns &gt; PMax &gt; Settings. Confirm automation settings match Quartile's PMAX configuration checklist.</t>
  </si>
  <si>
    <t>Observed: PMAX automation settings = {PMAX_auto_status}. Non-compliant PMAX campaigns = {PMAX_noncompliant_count}.</t>
  </si>
  <si>
    <t>Default PMAX automation settings override audience targeting intent and can spend heavily on irrelevant placements.</t>
  </si>
  <si>
    <t>Confirm each PMAX asset group has at least: one custom segment, one remarketing audience, and one customer list.</t>
  </si>
  <si>
    <t>Underpopulated PMAX audience signals force Google to broad-match audiences using only product data, reducing precision.</t>
  </si>
  <si>
    <t>Google Ads &gt; Campaigns &gt; PMax &gt; Asset Groups &gt; Audiences. Verify minimum audience requirements per asset group.</t>
  </si>
  <si>
    <t>Observed: PMAX asset groups with full audience setup = {Compliant_AG_count} of {Total_AG_count}.</t>
  </si>
  <si>
    <t>Insufficient PMAX audience signals allow Google to target broadly, increasing CPAs and reducing account control.</t>
  </si>
  <si>
    <t>Confirm each active PMAX asset group has at least 10 Search Themes configured.</t>
  </si>
  <si>
    <t>Search Themes guide PMAX's intent targeting in the Search channel. Too few themes limit search query coverage.</t>
  </si>
  <si>
    <t>Google Ads &gt; Campaigns &gt; PMax &gt; Asset Groups &gt; Search Themes. Count themes per asset group.</t>
  </si>
  <si>
    <t>Observed: Asset groups with 10+ Search Themes = {Compliant_ST_count} of {Total_AG_count}.</t>
  </si>
  <si>
    <t>Fewer than 10 Search Themes leaves PMAX search intent guidance underdeveloped, reducing quality of search traffic.</t>
  </si>
  <si>
    <t>Confirm all PMAX asset groups have approved image assets aligned with advertised products.</t>
  </si>
  <si>
    <t>PMAX without images defaults to text-only ads across Display, Gmail, and YouTube, severely limiting reach and quality.</t>
  </si>
  <si>
    <t>Google Ads &gt; Campaigns &gt; PMax &gt; Asset Groups. Confirm images present and status = Approved per asset group.</t>
  </si>
  <si>
    <t>Observed: Asset groups with approved images = {Image_AG_count} of {Total_AG_count}.</t>
  </si>
  <si>
    <t>PMAX asset groups without images cannot serve visual ad formats, eliminating Display/YouTube inventory.</t>
  </si>
  <si>
    <t>Confirm PMAX listing groups have active, eligible products with approved status in all asset groups.</t>
  </si>
  <si>
    <t>Ineligible listing groups mean products are silently excluded from PMAX Shopping inventory.</t>
  </si>
  <si>
    <t>Google Ads &gt; Campaigns &gt; PMax &gt; Asset Groups &gt; Listing Groups. Flag asset groups with 0 eligible products.</t>
  </si>
  <si>
    <t>Observed: Asset groups with eligible listing groups = {Eligible_LG_count} of {Total_AG_count}.</t>
  </si>
  <si>
    <t>Ineligible listing groups reduce the addressable product inventory in PMAX, capping Shopping revenue potential.</t>
  </si>
  <si>
    <t>Confirm Shopping campaign priorities are set correctly: General = High, Remnant = Medium, Zombie = Low.</t>
  </si>
  <si>
    <t>Incorrect priority settings cause wrong campaigns to win auctions, disrupting the CWCD funnel architecture.</t>
  </si>
  <si>
    <t>Google Ads &gt; Shopping Campaigns &gt; Settings. Check Priority field for each campaign. Compare against naming convention.</t>
  </si>
  <si>
    <t>Observed: Campaigns with correct priority = {Correct_priority_count} of {Shopping_campaign_count}.</t>
  </si>
  <si>
    <t>Wrong campaign priorities break the catch-all funnel — high-priority campaigns win over top-product campaigns, wasting budget.</t>
  </si>
  <si>
    <t>Confirm negative keyword lists are created and correctly assigned to prevent keyword overlap between campaigns.</t>
  </si>
  <si>
    <t>Without negative list segmentation, campaigns cannibalize each other's traffic, inflating CPCs and distorting ROAS.</t>
  </si>
  <si>
    <t>Google Ads &gt; Tools &gt; Shared Library &gt; Negative Keyword Lists. Confirm lists exist and are assigned per campaign.</t>
  </si>
  <si>
    <t>Observed: Negative keyword lists = {NKL_count}. Lists correctly assigned = {Assigned_count}.</t>
  </si>
  <si>
    <t>Keyword overlap between Shopping campaigns causes internal auction competition, driving up CPCs for the same traffic.</t>
  </si>
  <si>
    <t>Confirm at least 4 sitelink extensions are active at the account or campaign level.</t>
  </si>
  <si>
    <t>Sitelinks expand ad real estate, improve CTR, and provide additional conversion pathways beyond the main landing page.</t>
  </si>
  <si>
    <t>Google Ads &gt; Assets &gt; Sitelinks. Count active, approved sitelinks at account and campaign level.</t>
  </si>
  <si>
    <t>Observed: Active sitelink extensions = {Sitelink_count}. Minimum required = 4.</t>
  </si>
  <si>
    <t>Fewer than 4 sitelinks reduces ad quality score, limits ad size, and misses CTR improvement opportunity.</t>
  </si>
  <si>
    <t>Confirm a Business Name asset is configured at the account level.</t>
  </si>
  <si>
    <t>Business Name improves ad credibility and brand recognition in Search and PMAX ads.</t>
  </si>
  <si>
    <t>Google Ads &gt; Assets &gt; Business Name. Confirm active and approved business name asset exists.</t>
  </si>
  <si>
    <t>Observed: Business Name asset = {BN_status}.</t>
  </si>
  <si>
    <t>Missing Business Name reduces ad trust signals and ad strength scores in Search and PMAX.</t>
  </si>
  <si>
    <t>Confirm at least one approved logo asset is uploaded and active.</t>
  </si>
  <si>
    <t>Logo assets are required for PMAX Display and Discovery ads to appear with brand identity. Missing logos default to text-only.</t>
  </si>
  <si>
    <t>Google Ads &gt; Assets &gt; Logos. Confirm at least one logo with status = Approved.</t>
  </si>
  <si>
    <t>Observed: Approved logos = {Logo_count}.</t>
  </si>
  <si>
    <t>Missing logo assets prevent branded visual ad formats from serving, reducing PMAX Display and Gmail ad quality.</t>
  </si>
  <si>
    <t>I001</t>
  </si>
  <si>
    <t>I002</t>
  </si>
  <si>
    <t>I003</t>
  </si>
  <si>
    <t>I004</t>
  </si>
  <si>
    <t>I005</t>
  </si>
  <si>
    <t>I006</t>
  </si>
  <si>
    <t>I007</t>
  </si>
  <si>
    <t>I008</t>
  </si>
  <si>
    <t>I009</t>
  </si>
  <si>
    <t>I010</t>
  </si>
  <si>
    <t>I011</t>
  </si>
  <si>
    <t>I012</t>
  </si>
  <si>
    <t>I013</t>
  </si>
  <si>
    <t>I014</t>
  </si>
  <si>
    <t>I015</t>
  </si>
  <si>
    <t>I016</t>
  </si>
  <si>
    <t>I017</t>
  </si>
  <si>
    <t>I018</t>
  </si>
  <si>
    <t>I019</t>
  </si>
  <si>
    <t>I020</t>
  </si>
  <si>
    <t>I021</t>
  </si>
  <si>
    <t>I022</t>
  </si>
  <si>
    <t>I023</t>
  </si>
  <si>
    <t>I024</t>
  </si>
  <si>
    <t>I025</t>
  </si>
  <si>
    <t>I026</t>
  </si>
  <si>
    <t xml:space="preserve">What You Should 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</si>
</sst>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8" xfId="0" applyFill="1" applyBorder="1"/>
    <xf numFmtId="0" fontId="10" fillId="2" borderId="14" xfId="0" applyFont="1" applyFill="1" applyBorder="1" applyAlignment="1">
      <alignment horizontal="center" vertical="center" wrapText="1"/>
    </xf>
    <xf numFmtId="0" fontId="12" fillId="0" borderId="0" xfId="0" applyFont="1"/>
    <xf numFmtId="0" fontId="1" fillId="7" borderId="10" xfId="0" applyFont="1" applyFill="1" applyBorder="1" applyAlignment="1">
      <alignment horizontal="center" vertical="center"/>
    </xf>
    <xf numFmtId="0" fontId="0" fillId="7" borderId="17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9" xfId="0" applyFont="1" applyFill="1" applyBorder="1" applyAlignment="1">
      <alignment horizontal="center" vertical="top" wrapText="1"/>
    </xf>
    <xf numFmtId="0" fontId="0" fillId="0" borderId="17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5" fillId="2" borderId="20" xfId="0" applyFont="1" applyFill="1" applyBorder="1" applyAlignment="1">
      <alignment horizontal="center" vertical="center" wrapText="1"/>
    </xf>
    <xf numFmtId="0" fontId="11" fillId="0" borderId="4" xfId="0" applyFont="1" applyBorder="1" applyAlignment="1">
      <alignment horizontal="left" vertical="top" wrapText="1"/>
    </xf>
  </cellXfs>
  <cellStyles count="1"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27" totalsRowShown="0" headerRowDxfId="26" dataDxfId="25" tableBorderDxfId="24">
  <autoFilter ref="A1:O27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B6CEF4D1-6833-4721-9B69-EB6D946BA594}" name="What You Should Do " dataDxfId="0"/>
    <tableColumn id="8" xr3:uid="{00000000-0010-0000-0000-000008000000}" name="Data Source" dataDxfId="14"/>
    <tableColumn id="9" xr3:uid="{00000000-0010-0000-0000-000009000000}" name="Impact" dataDxfId="13">
      <calculatedColumnFormula>VLOOKUP(Table1[[#This Row],[Importance]],'Logic and Calculation'!$H$3:$J$12,3,FALSE)</calculatedColumnFormula>
    </tableColumn>
    <tableColumn id="10" xr3:uid="{00000000-0010-0000-0000-00000A000000}" name="Importance" dataDxfId="12"/>
    <tableColumn id="11" xr3:uid="{00000000-0010-0000-0000-00000B000000}" name="Priority" dataDxfId="11"/>
    <tableColumn id="12" xr3:uid="{00000000-0010-0000-0000-00000C000000}" name="Notes/Intent" dataDxfId="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35"/>
  <sheetViews>
    <sheetView zoomScale="70" zoomScaleNormal="70" workbookViewId="0">
      <pane ySplit="8" topLeftCell="A9" activePane="bottomLeft" state="frozen"/>
      <selection pane="bottomLeft" activeCell="F11" sqref="F11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6" width="50.21875" style="22" customWidth="1"/>
    <col min="7" max="7" width="34.44140625" customWidth="1"/>
    <col min="8" max="8" width="26.77734375" style="16" customWidth="1"/>
    <col min="9" max="9" width="21.5546875" style="16" bestFit="1" customWidth="1"/>
    <col min="10" max="10" width="26.21875" style="16" bestFit="1" customWidth="1"/>
    <col min="11" max="11" width="19.6640625" style="16" bestFit="1" customWidth="1"/>
    <col min="12" max="12" width="19.44140625" style="16" bestFit="1" customWidth="1"/>
    <col min="13" max="13" width="21.88671875" style="16" bestFit="1" customWidth="1"/>
    <col min="14" max="14" width="25" style="16" bestFit="1" customWidth="1"/>
    <col min="15" max="15" width="25.6640625" style="16" bestFit="1" customWidth="1"/>
    <col min="16" max="16" width="28.44140625" style="16" bestFit="1" customWidth="1"/>
    <col min="17" max="17" width="27.6640625" style="16" bestFit="1" customWidth="1"/>
    <col min="18" max="18" width="22.33203125" style="16" bestFit="1" customWidth="1"/>
    <col min="19" max="19" width="16.88671875" style="16" bestFit="1" customWidth="1"/>
    <col min="20" max="20" width="10.6640625" style="16" bestFit="1" customWidth="1"/>
    <col min="21" max="21" width="26.6640625" style="16" bestFit="1" customWidth="1"/>
    <col min="22" max="22" width="27.6640625" style="16" bestFit="1" customWidth="1"/>
    <col min="23" max="23" width="18.88671875" style="16" bestFit="1" customWidth="1"/>
    <col min="24" max="24" width="20" style="16" bestFit="1" customWidth="1"/>
    <col min="25" max="25" width="14.44140625" style="16" bestFit="1" customWidth="1"/>
    <col min="26" max="26" width="19.44140625" style="16" bestFit="1" customWidth="1"/>
    <col min="27" max="27" width="12.77734375" style="16" bestFit="1" customWidth="1"/>
    <col min="28" max="28" width="30.44140625" style="16" bestFit="1" customWidth="1"/>
    <col min="29" max="29" width="24.88671875" style="16" bestFit="1" customWidth="1"/>
    <col min="30" max="30" width="20.44140625" style="16" bestFit="1" customWidth="1"/>
    <col min="31" max="31" width="16.109375" style="16" bestFit="1" customWidth="1"/>
    <col min="32" max="32" width="21.5546875" style="16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40" t="s">
        <v>38</v>
      </c>
      <c r="B1" s="41"/>
      <c r="C1" s="42"/>
      <c r="D1" s="42"/>
      <c r="E1" s="42"/>
      <c r="F1" s="42"/>
      <c r="G1" s="42"/>
    </row>
    <row r="2" spans="1:8" ht="28.2" thickBot="1" x14ac:dyDescent="0.35">
      <c r="A2" s="25" t="s">
        <v>49</v>
      </c>
      <c r="B2" s="35" t="s">
        <v>48</v>
      </c>
      <c r="C2" s="16"/>
      <c r="D2" s="43"/>
      <c r="E2" s="44"/>
      <c r="F2" s="44"/>
      <c r="G2" s="44"/>
    </row>
    <row r="3" spans="1:8" ht="15" thickBot="1" x14ac:dyDescent="0.35">
      <c r="A3" s="24" t="s">
        <v>34</v>
      </c>
      <c r="B3" s="34" t="s">
        <v>35</v>
      </c>
      <c r="D3" s="23"/>
      <c r="E3"/>
      <c r="F3"/>
    </row>
    <row r="4" spans="1:8" ht="14.4" customHeight="1" thickBot="1" x14ac:dyDescent="0.35">
      <c r="A4" s="25" t="s">
        <v>33</v>
      </c>
      <c r="B4" s="37" t="s">
        <v>36</v>
      </c>
      <c r="C4" s="16"/>
      <c r="D4" s="43"/>
      <c r="E4" s="44"/>
      <c r="F4" s="44"/>
      <c r="G4" s="44"/>
    </row>
    <row r="5" spans="1:8" ht="14.4" customHeight="1" thickBot="1" x14ac:dyDescent="0.35">
      <c r="A5" s="25" t="s">
        <v>37</v>
      </c>
      <c r="B5" s="36">
        <v>46083.684884259259</v>
      </c>
      <c r="C5" s="16"/>
      <c r="D5" s="23"/>
      <c r="E5"/>
      <c r="F5"/>
    </row>
    <row r="6" spans="1:8" ht="15" thickBot="1" x14ac:dyDescent="0.35">
      <c r="A6" s="16"/>
      <c r="B6" s="16"/>
      <c r="C6" s="16"/>
      <c r="D6" s="21"/>
      <c r="E6" s="21"/>
      <c r="F6" s="21"/>
      <c r="G6" s="16"/>
    </row>
    <row r="7" spans="1:8" ht="21" customHeight="1" thickBot="1" x14ac:dyDescent="0.35">
      <c r="A7" s="45" t="s">
        <v>50</v>
      </c>
      <c r="B7" s="44"/>
      <c r="C7" s="44"/>
      <c r="D7" s="49" t="str">
        <f>'Logic and Calculation'!B5</f>
        <v>Healthy</v>
      </c>
      <c r="E7" s="50"/>
      <c r="F7" s="50"/>
      <c r="G7" s="50"/>
    </row>
    <row r="8" spans="1:8" ht="18" customHeight="1" x14ac:dyDescent="0.3">
      <c r="A8" s="45" t="s">
        <v>0</v>
      </c>
      <c r="B8" s="44"/>
      <c r="C8" s="44"/>
      <c r="D8" s="47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48"/>
      <c r="F8" s="48"/>
      <c r="G8" s="48"/>
    </row>
    <row r="9" spans="1:8" ht="18" customHeight="1" x14ac:dyDescent="0.3">
      <c r="A9" s="16"/>
      <c r="B9" s="16"/>
      <c r="C9" s="16"/>
      <c r="D9" s="21"/>
      <c r="E9" s="21"/>
      <c r="F9" s="21"/>
      <c r="G9" s="16"/>
    </row>
    <row r="10" spans="1:8" x14ac:dyDescent="0.3">
      <c r="A10" s="46" t="s">
        <v>1</v>
      </c>
      <c r="B10" s="44"/>
      <c r="C10" s="44"/>
      <c r="D10" s="44"/>
      <c r="E10" s="44"/>
      <c r="F10" s="44"/>
      <c r="G10" s="44"/>
    </row>
    <row r="11" spans="1:8" ht="19.95" customHeight="1" x14ac:dyDescent="0.3">
      <c r="A11" s="1" t="s">
        <v>2</v>
      </c>
      <c r="B11" s="1" t="s">
        <v>3</v>
      </c>
      <c r="C11" s="1" t="s">
        <v>4</v>
      </c>
      <c r="D11" s="1" t="s">
        <v>5</v>
      </c>
      <c r="E11" s="1" t="s">
        <v>6</v>
      </c>
      <c r="F11" s="1" t="s">
        <v>246</v>
      </c>
      <c r="G11" s="1" t="s">
        <v>7</v>
      </c>
      <c r="H11" s="14"/>
    </row>
    <row r="12" spans="1:8" ht="44.4" customHeight="1" x14ac:dyDescent="0.3">
      <c r="A12" s="17" t="str" cm="1">
        <f t="array" ref="A12">_xlfn.LET(
  _xlpm.id, 'Account Implement_Reference'!B2:B27,
  _xlpm.name, 'Account Implement_Reference'!C2:C27,
  _xlpm.st, 'Account Implement_Reference'!D2:D27,
  _xlpm.saw, 'Account Implement_Reference'!H2:H27,
  _xlpm.matter, 'Account Implement_Reference'!I2:I27,
  _xlpm.impact, 'Account Implement_Reference'!L2:L27,
  _xlpm.data, _xlfn.HSTACK(_xlpm.id, _xlpm.name, _xlpm.st, _xlpm.saw, _xlpm.matter, _xlpm.impact),
  _xlfn._xlws.FILTER(_xlpm.data, _xlpm.st&lt;&gt;"OK", "No findings — all controls OK")
)</f>
        <v>No findings — all controls OK</v>
      </c>
      <c r="B12" s="17"/>
      <c r="C12" s="18"/>
      <c r="D12" s="19"/>
      <c r="E12" s="19"/>
      <c r="F12" s="19"/>
      <c r="G12" s="17"/>
    </row>
    <row r="13" spans="1:8" ht="44.4" customHeight="1" x14ac:dyDescent="0.3">
      <c r="A13" s="17"/>
      <c r="B13" s="17"/>
      <c r="C13" s="15"/>
      <c r="D13" s="19"/>
      <c r="E13" s="19"/>
      <c r="F13" s="19"/>
      <c r="G13" s="17"/>
    </row>
    <row r="14" spans="1:8" ht="44.4" customHeight="1" x14ac:dyDescent="0.3">
      <c r="A14" s="17"/>
      <c r="B14" s="17"/>
      <c r="C14" s="15"/>
      <c r="D14" s="19"/>
      <c r="E14" s="19"/>
      <c r="F14" s="19"/>
      <c r="G14" s="17"/>
    </row>
    <row r="15" spans="1:8" ht="44.4" customHeight="1" x14ac:dyDescent="0.3">
      <c r="A15" s="17"/>
      <c r="B15" s="17"/>
      <c r="C15" s="15"/>
      <c r="D15" s="19"/>
      <c r="E15" s="19"/>
      <c r="F15" s="19"/>
      <c r="G15" s="17"/>
    </row>
    <row r="16" spans="1:8" ht="44.4" customHeight="1" x14ac:dyDescent="0.3">
      <c r="A16" s="17"/>
      <c r="B16" s="17"/>
      <c r="C16" s="15"/>
      <c r="D16" s="19"/>
      <c r="E16" s="19"/>
      <c r="F16" s="19"/>
      <c r="G16" s="17"/>
    </row>
    <row r="17" spans="1:7" ht="44.4" customHeight="1" x14ac:dyDescent="0.3">
      <c r="A17" s="17"/>
      <c r="B17" s="17"/>
      <c r="C17" s="15"/>
      <c r="D17" s="19"/>
      <c r="E17" s="19"/>
      <c r="F17" s="19"/>
      <c r="G17" s="17"/>
    </row>
    <row r="18" spans="1:7" ht="44.4" customHeight="1" x14ac:dyDescent="0.3">
      <c r="A18" s="17"/>
      <c r="B18" s="17"/>
      <c r="C18" s="15"/>
      <c r="D18" s="19"/>
      <c r="E18" s="19"/>
      <c r="F18" s="19"/>
      <c r="G18" s="17"/>
    </row>
    <row r="19" spans="1:7" ht="44.4" customHeight="1" x14ac:dyDescent="0.3">
      <c r="A19" s="17"/>
      <c r="B19" s="17"/>
      <c r="C19" s="15"/>
      <c r="D19" s="19"/>
      <c r="E19" s="19"/>
      <c r="F19" s="19"/>
      <c r="G19" s="17"/>
    </row>
    <row r="20" spans="1:7" ht="44.4" customHeight="1" x14ac:dyDescent="0.3">
      <c r="A20" s="17"/>
      <c r="B20" s="17"/>
      <c r="C20" s="15"/>
      <c r="D20" s="19"/>
      <c r="E20" s="19"/>
      <c r="F20" s="19"/>
      <c r="G20" s="17"/>
    </row>
    <row r="21" spans="1:7" ht="44.4" customHeight="1" x14ac:dyDescent="0.3">
      <c r="A21" s="17"/>
      <c r="B21" s="17"/>
      <c r="C21" s="15"/>
      <c r="D21" s="19"/>
      <c r="E21" s="19"/>
      <c r="F21" s="19"/>
      <c r="G21" s="17"/>
    </row>
    <row r="22" spans="1:7" ht="44.4" customHeight="1" x14ac:dyDescent="0.3">
      <c r="A22" s="17"/>
      <c r="B22" s="17"/>
      <c r="C22" s="15"/>
      <c r="D22" s="19"/>
      <c r="E22" s="19"/>
      <c r="F22" s="19"/>
      <c r="G22" s="17"/>
    </row>
    <row r="23" spans="1:7" ht="44.4" customHeight="1" x14ac:dyDescent="0.3">
      <c r="A23" s="17"/>
      <c r="B23" s="17"/>
      <c r="C23" s="15"/>
      <c r="D23" s="19"/>
      <c r="E23" s="19"/>
      <c r="F23" s="19"/>
      <c r="G23" s="17"/>
    </row>
    <row r="24" spans="1:7" ht="44.4" customHeight="1" x14ac:dyDescent="0.3">
      <c r="A24" s="17"/>
      <c r="B24" s="17"/>
      <c r="C24" s="15"/>
      <c r="D24" s="19"/>
      <c r="E24" s="19"/>
      <c r="F24" s="19"/>
      <c r="G24" s="17"/>
    </row>
    <row r="25" spans="1:7" ht="44.4" customHeight="1" x14ac:dyDescent="0.3">
      <c r="A25" s="17"/>
      <c r="B25" s="17"/>
      <c r="C25" s="15"/>
      <c r="D25" s="19"/>
      <c r="E25" s="19"/>
      <c r="F25" s="19"/>
      <c r="G25" s="17"/>
    </row>
    <row r="26" spans="1:7" ht="44.4" customHeight="1" x14ac:dyDescent="0.3">
      <c r="A26" s="16"/>
      <c r="B26" s="16"/>
      <c r="C26" s="15"/>
      <c r="D26" s="21"/>
      <c r="E26" s="21"/>
      <c r="F26" s="21"/>
      <c r="G26" s="16"/>
    </row>
    <row r="27" spans="1:7" ht="44.4" customHeight="1" x14ac:dyDescent="0.3">
      <c r="A27" s="16"/>
      <c r="B27" s="16"/>
      <c r="C27" s="15"/>
      <c r="D27" s="21"/>
      <c r="E27" s="21"/>
      <c r="F27" s="21"/>
      <c r="G27" s="16"/>
    </row>
    <row r="28" spans="1:7" ht="44.4" customHeight="1" x14ac:dyDescent="0.3">
      <c r="A28" s="16"/>
      <c r="B28" s="16"/>
      <c r="C28" s="15"/>
      <c r="D28" s="21"/>
      <c r="E28" s="21"/>
      <c r="F28" s="21"/>
      <c r="G28" s="16"/>
    </row>
    <row r="29" spans="1:7" ht="44.4" customHeight="1" x14ac:dyDescent="0.3">
      <c r="A29" s="16"/>
      <c r="B29" s="16"/>
      <c r="C29" s="15"/>
      <c r="D29" s="21"/>
      <c r="E29" s="21"/>
      <c r="F29" s="21"/>
      <c r="G29" s="16"/>
    </row>
    <row r="30" spans="1:7" ht="44.4" customHeight="1" x14ac:dyDescent="0.3">
      <c r="A30" s="16"/>
      <c r="B30" s="16"/>
      <c r="C30" s="15"/>
      <c r="D30" s="21"/>
      <c r="E30" s="21"/>
      <c r="F30" s="21"/>
      <c r="G30" s="16"/>
    </row>
    <row r="31" spans="1:7" ht="44.4" customHeight="1" x14ac:dyDescent="0.3">
      <c r="C31" s="15"/>
    </row>
    <row r="32" spans="1:7" ht="44.4" customHeight="1" x14ac:dyDescent="0.3">
      <c r="C32" s="15"/>
    </row>
    <row r="33" spans="3:3" ht="44.4" customHeight="1" x14ac:dyDescent="0.3">
      <c r="C33" s="15"/>
    </row>
    <row r="34" spans="3:3" ht="44.4" customHeight="1" x14ac:dyDescent="0.3">
      <c r="C34" s="15"/>
    </row>
    <row r="35" spans="3:3" ht="44.4" customHeight="1" x14ac:dyDescent="0.3">
      <c r="C35" s="15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9" priority="4" stopIfTrue="1" operator="equal">
      <formula>"OK"</formula>
    </cfRule>
    <cfRule type="cellIs" dxfId="8" priority="5" stopIfTrue="1" operator="equal">
      <formula>"PARTIAL"</formula>
    </cfRule>
    <cfRule type="cellIs" dxfId="7" priority="6" stopIfTrue="1" operator="equal">
      <formula>"FLAG"</formula>
    </cfRule>
  </conditionalFormatting>
  <conditionalFormatting sqref="D7:G7">
    <cfRule type="containsText" dxfId="6" priority="1" operator="containsText" text="Healthy">
      <formula>NOT(ISERROR(SEARCH("Healthy",D7)))</formula>
    </cfRule>
    <cfRule type="containsText" dxfId="5" priority="2" operator="containsText" text="Needs Attention">
      <formula>NOT(ISERROR(SEARCH("Needs Attention",D7)))</formula>
    </cfRule>
    <cfRule type="containsText" dxfId="4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7"/>
  <sheetViews>
    <sheetView tabSelected="1" topLeftCell="E1" workbookViewId="0">
      <pane ySplit="1" topLeftCell="A14" activePane="bottomLeft" state="frozen"/>
      <selection pane="bottomLeft" activeCell="J20" sqref="J20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8" customWidth="1"/>
    <col min="6" max="6" width="38" style="22" customWidth="1"/>
    <col min="7" max="7" width="42" style="22" customWidth="1"/>
    <col min="8" max="10" width="47.88671875" style="22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8</v>
      </c>
      <c r="B1" s="29" t="s">
        <v>2</v>
      </c>
      <c r="C1" s="30" t="s">
        <v>3</v>
      </c>
      <c r="D1" s="30" t="s">
        <v>9</v>
      </c>
      <c r="E1" s="38" t="s">
        <v>10</v>
      </c>
      <c r="F1" s="30" t="s">
        <v>11</v>
      </c>
      <c r="G1" s="30" t="s">
        <v>12</v>
      </c>
      <c r="H1" s="31" t="s">
        <v>5</v>
      </c>
      <c r="I1" s="31" t="s">
        <v>6</v>
      </c>
      <c r="J1" s="51" t="s">
        <v>246</v>
      </c>
      <c r="K1" s="8" t="s">
        <v>13</v>
      </c>
      <c r="L1" s="8" t="s">
        <v>7</v>
      </c>
      <c r="M1" s="8" t="s">
        <v>14</v>
      </c>
      <c r="N1" s="8" t="s">
        <v>15</v>
      </c>
      <c r="O1" s="10" t="s">
        <v>16</v>
      </c>
    </row>
    <row r="2" spans="1:15" ht="36" customHeight="1" x14ac:dyDescent="0.3">
      <c r="A2" s="4" t="s">
        <v>51</v>
      </c>
      <c r="B2" s="4" t="s">
        <v>220</v>
      </c>
      <c r="C2" s="4" t="s">
        <v>57</v>
      </c>
      <c r="D2" s="4" t="s">
        <v>17</v>
      </c>
      <c r="E2" s="27" t="s">
        <v>83</v>
      </c>
      <c r="F2" s="3" t="s">
        <v>84</v>
      </c>
      <c r="G2" s="3" t="s">
        <v>85</v>
      </c>
      <c r="H2" s="3" t="s">
        <v>86</v>
      </c>
      <c r="I2" s="3" t="s">
        <v>87</v>
      </c>
      <c r="J2" s="7"/>
      <c r="K2" s="7" t="s">
        <v>88</v>
      </c>
      <c r="L2" s="6" t="str">
        <f>VLOOKUP(Table1[[#This Row],[Importance]],'Logic and Calculation'!$H$3:$J$12,3,FALSE)</f>
        <v>Medium</v>
      </c>
      <c r="M2" s="6">
        <v>5</v>
      </c>
      <c r="N2" s="4">
        <f>VLOOKUP(Table1[[#This Row],[Importance]],'Logic and Calculation'!$H$3:$J$12,2,FALSE)</f>
        <v>-15</v>
      </c>
      <c r="O2" s="11"/>
    </row>
    <row r="3" spans="1:15" ht="36" customHeight="1" x14ac:dyDescent="0.3">
      <c r="A3" s="4" t="s">
        <v>51</v>
      </c>
      <c r="B3" s="4" t="s">
        <v>221</v>
      </c>
      <c r="C3" s="4" t="s">
        <v>58</v>
      </c>
      <c r="D3" s="4" t="s">
        <v>17</v>
      </c>
      <c r="E3" s="32" t="s">
        <v>89</v>
      </c>
      <c r="F3" s="3" t="s">
        <v>90</v>
      </c>
      <c r="G3" s="3" t="s">
        <v>91</v>
      </c>
      <c r="H3" s="3" t="s">
        <v>92</v>
      </c>
      <c r="I3" s="3" t="s">
        <v>93</v>
      </c>
      <c r="J3" s="3"/>
      <c r="K3" s="3" t="s">
        <v>94</v>
      </c>
      <c r="L3" s="6" t="str">
        <f>VLOOKUP(Table1[[#This Row],[Importance]],'Logic and Calculation'!$H$3:$J$12,3,FALSE)</f>
        <v>High</v>
      </c>
      <c r="M3" s="4">
        <v>8</v>
      </c>
      <c r="N3" s="4">
        <f>VLOOKUP(Table1[[#This Row],[Importance]],'Logic and Calculation'!$H$3:$J$12,2,FALSE)</f>
        <v>-24</v>
      </c>
      <c r="O3" s="12"/>
    </row>
    <row r="4" spans="1:15" ht="36" customHeight="1" x14ac:dyDescent="0.3">
      <c r="A4" s="4" t="s">
        <v>51</v>
      </c>
      <c r="B4" s="4" t="s">
        <v>222</v>
      </c>
      <c r="C4" s="4" t="s">
        <v>59</v>
      </c>
      <c r="D4" s="4" t="s">
        <v>17</v>
      </c>
      <c r="E4" s="32" t="s">
        <v>95</v>
      </c>
      <c r="F4" s="3" t="s">
        <v>96</v>
      </c>
      <c r="G4" s="3" t="s">
        <v>97</v>
      </c>
      <c r="H4" s="3" t="s">
        <v>98</v>
      </c>
      <c r="I4" s="3" t="s">
        <v>99</v>
      </c>
      <c r="J4" s="3"/>
      <c r="K4" s="3" t="s">
        <v>94</v>
      </c>
      <c r="L4" s="6" t="str">
        <f>VLOOKUP(Table1[[#This Row],[Importance]],'Logic and Calculation'!$H$3:$J$12,3,FALSE)</f>
        <v>Critical</v>
      </c>
      <c r="M4" s="4">
        <v>10</v>
      </c>
      <c r="N4" s="4">
        <f>VLOOKUP(Table1[[#This Row],[Importance]],'Logic and Calculation'!$H$3:$J$12,2,FALSE)</f>
        <v>-30</v>
      </c>
      <c r="O4" s="12"/>
    </row>
    <row r="5" spans="1:15" ht="48" customHeight="1" x14ac:dyDescent="0.3">
      <c r="A5" s="4" t="s">
        <v>51</v>
      </c>
      <c r="B5" s="4" t="s">
        <v>223</v>
      </c>
      <c r="C5" s="4" t="s">
        <v>60</v>
      </c>
      <c r="D5" s="4" t="s">
        <v>17</v>
      </c>
      <c r="E5" s="32" t="s">
        <v>100</v>
      </c>
      <c r="F5" s="3" t="s">
        <v>101</v>
      </c>
      <c r="G5" s="3" t="s">
        <v>102</v>
      </c>
      <c r="H5" s="3" t="s">
        <v>103</v>
      </c>
      <c r="I5" s="3" t="s">
        <v>104</v>
      </c>
      <c r="J5" s="3"/>
      <c r="K5" s="3" t="s">
        <v>105</v>
      </c>
      <c r="L5" s="6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-30</v>
      </c>
      <c r="O5" s="12"/>
    </row>
    <row r="6" spans="1:15" ht="36" customHeight="1" x14ac:dyDescent="0.3">
      <c r="A6" s="4" t="s">
        <v>51</v>
      </c>
      <c r="B6" s="4" t="s">
        <v>224</v>
      </c>
      <c r="C6" s="4" t="s">
        <v>61</v>
      </c>
      <c r="D6" s="4" t="s">
        <v>17</v>
      </c>
      <c r="E6" s="32" t="s">
        <v>106</v>
      </c>
      <c r="F6" s="3" t="s">
        <v>107</v>
      </c>
      <c r="G6" s="3" t="s">
        <v>108</v>
      </c>
      <c r="H6" s="3" t="s">
        <v>109</v>
      </c>
      <c r="I6" s="3" t="s">
        <v>110</v>
      </c>
      <c r="J6" s="3"/>
      <c r="K6" s="3" t="s">
        <v>94</v>
      </c>
      <c r="L6" s="6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-30</v>
      </c>
      <c r="O6" s="12"/>
    </row>
    <row r="7" spans="1:15" ht="48" customHeight="1" x14ac:dyDescent="0.3">
      <c r="A7" s="4" t="s">
        <v>51</v>
      </c>
      <c r="B7" s="4" t="s">
        <v>225</v>
      </c>
      <c r="C7" s="4" t="s">
        <v>62</v>
      </c>
      <c r="D7" s="4" t="s">
        <v>17</v>
      </c>
      <c r="E7" s="32" t="s">
        <v>111</v>
      </c>
      <c r="F7" s="3" t="s">
        <v>112</v>
      </c>
      <c r="G7" s="3" t="s">
        <v>113</v>
      </c>
      <c r="H7" s="3" t="s">
        <v>114</v>
      </c>
      <c r="I7" s="3" t="s">
        <v>115</v>
      </c>
      <c r="J7" s="3"/>
      <c r="K7" s="3" t="s">
        <v>116</v>
      </c>
      <c r="L7" s="6" t="str">
        <f>VLOOKUP(Table1[[#This Row],[Importance]],'Logic and Calculation'!$H$3:$J$12,3,FALSE)</f>
        <v>Critical</v>
      </c>
      <c r="M7" s="4">
        <v>10</v>
      </c>
      <c r="N7" s="4">
        <f>VLOOKUP(Table1[[#This Row],[Importance]],'Logic and Calculation'!$H$3:$J$12,2,FALSE)</f>
        <v>-30</v>
      </c>
      <c r="O7" s="12"/>
    </row>
    <row r="8" spans="1:15" ht="36" customHeight="1" x14ac:dyDescent="0.3">
      <c r="A8" s="4" t="s">
        <v>52</v>
      </c>
      <c r="B8" s="4" t="s">
        <v>226</v>
      </c>
      <c r="C8" s="4" t="s">
        <v>63</v>
      </c>
      <c r="D8" s="4" t="s">
        <v>17</v>
      </c>
      <c r="E8" s="32" t="s">
        <v>117</v>
      </c>
      <c r="F8" s="3" t="s">
        <v>118</v>
      </c>
      <c r="G8" s="3" t="s">
        <v>119</v>
      </c>
      <c r="H8" s="3" t="s">
        <v>120</v>
      </c>
      <c r="I8" s="3" t="s">
        <v>121</v>
      </c>
      <c r="J8" s="3"/>
      <c r="K8" s="3" t="s">
        <v>116</v>
      </c>
      <c r="L8" s="6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-21</v>
      </c>
      <c r="O8" s="12"/>
    </row>
    <row r="9" spans="1:15" ht="24" customHeight="1" x14ac:dyDescent="0.3">
      <c r="A9" s="4" t="s">
        <v>52</v>
      </c>
      <c r="B9" s="4" t="s">
        <v>227</v>
      </c>
      <c r="C9" s="4" t="s">
        <v>64</v>
      </c>
      <c r="D9" s="4" t="s">
        <v>17</v>
      </c>
      <c r="E9" s="32" t="s">
        <v>122</v>
      </c>
      <c r="F9" s="3" t="s">
        <v>123</v>
      </c>
      <c r="G9" s="3" t="s">
        <v>124</v>
      </c>
      <c r="H9" s="3" t="s">
        <v>125</v>
      </c>
      <c r="I9" s="3" t="s">
        <v>126</v>
      </c>
      <c r="J9" s="3"/>
      <c r="K9" s="3" t="s">
        <v>127</v>
      </c>
      <c r="L9" s="6" t="str">
        <f>VLOOKUP(Table1[[#This Row],[Importance]],'Logic and Calculation'!$H$3:$J$12,3,FALSE)</f>
        <v>Visibility</v>
      </c>
      <c r="M9" s="4">
        <v>1</v>
      </c>
      <c r="N9" s="4">
        <f>VLOOKUP(Table1[[#This Row],[Importance]],'Logic and Calculation'!$H$3:$J$12,2,FALSE)</f>
        <v>0</v>
      </c>
      <c r="O9" s="12"/>
    </row>
    <row r="10" spans="1:15" ht="48" customHeight="1" x14ac:dyDescent="0.3">
      <c r="A10" s="4" t="s">
        <v>52</v>
      </c>
      <c r="B10" s="4" t="s">
        <v>228</v>
      </c>
      <c r="C10" s="4" t="s">
        <v>65</v>
      </c>
      <c r="D10" s="4" t="s">
        <v>17</v>
      </c>
      <c r="E10" s="32" t="s">
        <v>128</v>
      </c>
      <c r="F10" s="3" t="s">
        <v>129</v>
      </c>
      <c r="G10" s="3" t="s">
        <v>130</v>
      </c>
      <c r="H10" s="3" t="s">
        <v>131</v>
      </c>
      <c r="I10" s="3" t="s">
        <v>132</v>
      </c>
      <c r="J10" s="3"/>
      <c r="K10" s="3" t="s">
        <v>133</v>
      </c>
      <c r="L10" s="6" t="str">
        <f>VLOOKUP(Table1[[#This Row],[Importance]],'Logic and Calculation'!$H$3:$J$12,3,FALSE)</f>
        <v>Visibility</v>
      </c>
      <c r="M10" s="4">
        <v>1</v>
      </c>
      <c r="N10" s="4">
        <f>VLOOKUP(Table1[[#This Row],[Importance]],'Logic and Calculation'!$H$3:$J$12,2,FALSE)</f>
        <v>0</v>
      </c>
      <c r="O10" s="12"/>
    </row>
    <row r="11" spans="1:15" ht="36" customHeight="1" x14ac:dyDescent="0.3">
      <c r="A11" s="4" t="s">
        <v>52</v>
      </c>
      <c r="B11" s="4" t="s">
        <v>229</v>
      </c>
      <c r="C11" s="4" t="s">
        <v>66</v>
      </c>
      <c r="D11" s="4" t="s">
        <v>17</v>
      </c>
      <c r="E11" s="32" t="s">
        <v>134</v>
      </c>
      <c r="F11" s="3" t="s">
        <v>135</v>
      </c>
      <c r="G11" s="3" t="s">
        <v>136</v>
      </c>
      <c r="H11" s="3" t="s">
        <v>137</v>
      </c>
      <c r="I11" s="3" t="s">
        <v>138</v>
      </c>
      <c r="J11" s="3"/>
      <c r="K11" s="3" t="s">
        <v>94</v>
      </c>
      <c r="L11" s="6" t="str">
        <f>VLOOKUP(Table1[[#This Row],[Importance]],'Logic and Calculation'!$H$3:$J$12,3,FALSE)</f>
        <v>Visibility</v>
      </c>
      <c r="M11" s="4">
        <v>1</v>
      </c>
      <c r="N11" s="4">
        <f>VLOOKUP(Table1[[#This Row],[Importance]],'Logic and Calculation'!$H$3:$J$12,2,FALSE)</f>
        <v>0</v>
      </c>
      <c r="O11" s="12"/>
    </row>
    <row r="12" spans="1:15" ht="60" customHeight="1" x14ac:dyDescent="0.3">
      <c r="A12" s="4" t="s">
        <v>53</v>
      </c>
      <c r="B12" s="4" t="s">
        <v>230</v>
      </c>
      <c r="C12" s="4" t="s">
        <v>67</v>
      </c>
      <c r="D12" s="4" t="s">
        <v>17</v>
      </c>
      <c r="E12" s="32" t="s">
        <v>139</v>
      </c>
      <c r="F12" s="3" t="s">
        <v>140</v>
      </c>
      <c r="G12" s="3" t="s">
        <v>141</v>
      </c>
      <c r="H12" s="3" t="s">
        <v>142</v>
      </c>
      <c r="I12" s="3" t="s">
        <v>143</v>
      </c>
      <c r="J12" s="3"/>
      <c r="K12" s="3" t="s">
        <v>144</v>
      </c>
      <c r="L12" s="6" t="str">
        <f>VLOOKUP(Table1[[#This Row],[Importance]],'Logic and Calculation'!$H$3:$J$12,3,FALSE)</f>
        <v>Visibility</v>
      </c>
      <c r="M12" s="4">
        <v>1</v>
      </c>
      <c r="N12" s="4">
        <f>VLOOKUP(Table1[[#This Row],[Importance]],'Logic and Calculation'!$H$3:$J$12,2,FALSE)</f>
        <v>0</v>
      </c>
      <c r="O12" s="12"/>
    </row>
    <row r="13" spans="1:15" ht="60" customHeight="1" x14ac:dyDescent="0.3">
      <c r="A13" s="4" t="s">
        <v>53</v>
      </c>
      <c r="B13" s="4" t="s">
        <v>231</v>
      </c>
      <c r="C13" s="4" t="s">
        <v>68</v>
      </c>
      <c r="D13" s="4" t="s">
        <v>17</v>
      </c>
      <c r="E13" s="32" t="s">
        <v>145</v>
      </c>
      <c r="F13" s="3" t="s">
        <v>146</v>
      </c>
      <c r="G13" s="3" t="s">
        <v>147</v>
      </c>
      <c r="H13" s="3" t="s">
        <v>148</v>
      </c>
      <c r="I13" s="3" t="s">
        <v>149</v>
      </c>
      <c r="J13" s="3"/>
      <c r="K13" s="3" t="s">
        <v>94</v>
      </c>
      <c r="L13" s="6" t="str">
        <f>VLOOKUP(Table1[[#This Row],[Importance]],'Logic and Calculation'!$H$3:$J$12,3,FALSE)</f>
        <v>Visibility</v>
      </c>
      <c r="M13" s="4">
        <v>1</v>
      </c>
      <c r="N13" s="4">
        <f>VLOOKUP(Table1[[#This Row],[Importance]],'Logic and Calculation'!$H$3:$J$12,2,FALSE)</f>
        <v>0</v>
      </c>
      <c r="O13" s="12"/>
    </row>
    <row r="14" spans="1:15" ht="48" customHeight="1" x14ac:dyDescent="0.3">
      <c r="A14" s="4" t="s">
        <v>53</v>
      </c>
      <c r="B14" s="4" t="s">
        <v>232</v>
      </c>
      <c r="C14" s="4" t="s">
        <v>69</v>
      </c>
      <c r="D14" s="4" t="s">
        <v>17</v>
      </c>
      <c r="E14" s="32" t="s">
        <v>150</v>
      </c>
      <c r="F14" s="3" t="s">
        <v>151</v>
      </c>
      <c r="G14" s="3" t="s">
        <v>152</v>
      </c>
      <c r="H14" s="3" t="s">
        <v>153</v>
      </c>
      <c r="I14" s="3" t="s">
        <v>154</v>
      </c>
      <c r="J14" s="3"/>
      <c r="K14" s="3" t="s">
        <v>94</v>
      </c>
      <c r="L14" s="6" t="str">
        <f>VLOOKUP(Table1[[#This Row],[Importance]],'Logic and Calculation'!$H$3:$J$12,3,FALSE)</f>
        <v>High</v>
      </c>
      <c r="M14" s="4">
        <v>8</v>
      </c>
      <c r="N14" s="4">
        <f>VLOOKUP(Table1[[#This Row],[Importance]],'Logic and Calculation'!$H$3:$J$12,2,FALSE)</f>
        <v>-24</v>
      </c>
      <c r="O14" s="12"/>
    </row>
    <row r="15" spans="1:15" ht="24" customHeight="1" x14ac:dyDescent="0.3">
      <c r="A15" s="4" t="s">
        <v>53</v>
      </c>
      <c r="B15" s="4" t="s">
        <v>233</v>
      </c>
      <c r="C15" s="4" t="s">
        <v>70</v>
      </c>
      <c r="D15" s="4" t="s">
        <v>17</v>
      </c>
      <c r="E15" s="32" t="s">
        <v>155</v>
      </c>
      <c r="F15" s="3" t="s">
        <v>156</v>
      </c>
      <c r="G15" s="3" t="s">
        <v>157</v>
      </c>
      <c r="H15" s="3" t="s">
        <v>158</v>
      </c>
      <c r="I15" s="3" t="s">
        <v>159</v>
      </c>
      <c r="J15" s="3"/>
      <c r="K15" s="3" t="s">
        <v>94</v>
      </c>
      <c r="L15" s="6" t="str">
        <f>VLOOKUP(Table1[[#This Row],[Importance]],'Logic and Calculation'!$H$3:$J$12,3,FALSE)</f>
        <v>Visibility</v>
      </c>
      <c r="M15" s="4">
        <v>1</v>
      </c>
      <c r="N15" s="4">
        <f>VLOOKUP(Table1[[#This Row],[Importance]],'Logic and Calculation'!$H$3:$J$12,2,FALSE)</f>
        <v>0</v>
      </c>
      <c r="O15" s="12"/>
    </row>
    <row r="16" spans="1:15" ht="24" customHeight="1" x14ac:dyDescent="0.3">
      <c r="A16" s="4" t="s">
        <v>53</v>
      </c>
      <c r="B16" s="4" t="s">
        <v>234</v>
      </c>
      <c r="C16" s="4" t="s">
        <v>71</v>
      </c>
      <c r="D16" s="4" t="s">
        <v>17</v>
      </c>
      <c r="E16" s="32" t="s">
        <v>160</v>
      </c>
      <c r="F16" s="3" t="s">
        <v>161</v>
      </c>
      <c r="G16" s="3" t="s">
        <v>162</v>
      </c>
      <c r="H16" s="3" t="s">
        <v>163</v>
      </c>
      <c r="I16" s="3" t="s">
        <v>164</v>
      </c>
      <c r="J16" s="3"/>
      <c r="K16" s="3" t="s">
        <v>94</v>
      </c>
      <c r="L16" s="6" t="str">
        <f>VLOOKUP(Table1[[#This Row],[Importance]],'Logic and Calculation'!$H$3:$J$12,3,FALSE)</f>
        <v>Visibility</v>
      </c>
      <c r="M16" s="4">
        <v>1</v>
      </c>
      <c r="N16" s="4">
        <f>VLOOKUP(Table1[[#This Row],[Importance]],'Logic and Calculation'!$H$3:$J$12,2,FALSE)</f>
        <v>0</v>
      </c>
      <c r="O16" s="12"/>
    </row>
    <row r="17" spans="1:15" ht="24" customHeight="1" x14ac:dyDescent="0.3">
      <c r="A17" s="4" t="s">
        <v>53</v>
      </c>
      <c r="B17" s="4" t="s">
        <v>235</v>
      </c>
      <c r="C17" s="4" t="s">
        <v>72</v>
      </c>
      <c r="D17" s="4" t="s">
        <v>17</v>
      </c>
      <c r="E17" s="32" t="s">
        <v>165</v>
      </c>
      <c r="F17" s="3" t="s">
        <v>166</v>
      </c>
      <c r="G17" s="3" t="s">
        <v>167</v>
      </c>
      <c r="H17" s="3" t="s">
        <v>168</v>
      </c>
      <c r="I17" s="3" t="s">
        <v>169</v>
      </c>
      <c r="J17" s="3"/>
      <c r="K17" s="3" t="s">
        <v>94</v>
      </c>
      <c r="L17" s="6" t="str">
        <f>VLOOKUP(Table1[[#This Row],[Importance]],'Logic and Calculation'!$H$3:$J$12,3,FALSE)</f>
        <v>Visibility</v>
      </c>
      <c r="M17" s="4">
        <v>1</v>
      </c>
      <c r="N17" s="4">
        <f>VLOOKUP(Table1[[#This Row],[Importance]],'Logic and Calculation'!$H$3:$J$12,2,FALSE)</f>
        <v>0</v>
      </c>
      <c r="O17" s="12"/>
    </row>
    <row r="18" spans="1:15" ht="24" customHeight="1" x14ac:dyDescent="0.3">
      <c r="A18" s="4" t="s">
        <v>54</v>
      </c>
      <c r="B18" s="4" t="s">
        <v>236</v>
      </c>
      <c r="C18" s="4" t="s">
        <v>73</v>
      </c>
      <c r="D18" s="4" t="s">
        <v>17</v>
      </c>
      <c r="E18" s="32" t="s">
        <v>170</v>
      </c>
      <c r="F18" s="3" t="s">
        <v>171</v>
      </c>
      <c r="G18" s="3" t="s">
        <v>172</v>
      </c>
      <c r="H18" s="3" t="s">
        <v>173</v>
      </c>
      <c r="I18" s="3" t="s">
        <v>174</v>
      </c>
      <c r="J18" s="3"/>
      <c r="K18" s="3" t="s">
        <v>94</v>
      </c>
      <c r="L18" s="6" t="str">
        <f>VLOOKUP(Table1[[#This Row],[Importance]],'Logic and Calculation'!$H$3:$J$12,3,FALSE)</f>
        <v>Visibility</v>
      </c>
      <c r="M18" s="4">
        <v>1</v>
      </c>
      <c r="N18" s="4">
        <f>VLOOKUP(Table1[[#This Row],[Importance]],'Logic and Calculation'!$H$3:$J$12,2,FALSE)</f>
        <v>0</v>
      </c>
      <c r="O18" s="12"/>
    </row>
    <row r="19" spans="1:15" ht="36" customHeight="1" x14ac:dyDescent="0.3">
      <c r="A19" s="4" t="s">
        <v>54</v>
      </c>
      <c r="B19" s="4" t="s">
        <v>237</v>
      </c>
      <c r="C19" s="4" t="s">
        <v>74</v>
      </c>
      <c r="D19" s="4" t="s">
        <v>17</v>
      </c>
      <c r="E19" s="27" t="s">
        <v>175</v>
      </c>
      <c r="F19" s="3" t="s">
        <v>176</v>
      </c>
      <c r="G19" s="3" t="s">
        <v>177</v>
      </c>
      <c r="H19" s="3" t="s">
        <v>178</v>
      </c>
      <c r="I19" s="3" t="s">
        <v>179</v>
      </c>
      <c r="J19" s="3"/>
      <c r="K19" s="3" t="s">
        <v>94</v>
      </c>
      <c r="L19" s="6" t="str">
        <f>VLOOKUP(Table1[[#This Row],[Importance]],'Logic and Calculation'!$H$3:$J$12,3,FALSE)</f>
        <v>Visibility</v>
      </c>
      <c r="M19" s="4">
        <v>1</v>
      </c>
      <c r="N19" s="4">
        <f>VLOOKUP(Table1[[#This Row],[Importance]],'Logic and Calculation'!$H$3:$J$12,2,FALSE)</f>
        <v>0</v>
      </c>
      <c r="O19" s="12"/>
    </row>
    <row r="20" spans="1:15" ht="36" customHeight="1" x14ac:dyDescent="0.3">
      <c r="A20" s="4" t="s">
        <v>54</v>
      </c>
      <c r="B20" s="4" t="s">
        <v>238</v>
      </c>
      <c r="C20" s="4" t="s">
        <v>75</v>
      </c>
      <c r="D20" s="4" t="s">
        <v>17</v>
      </c>
      <c r="E20" s="32" t="s">
        <v>180</v>
      </c>
      <c r="F20" s="3" t="s">
        <v>181</v>
      </c>
      <c r="G20" s="3" t="s">
        <v>182</v>
      </c>
      <c r="H20" s="3" t="s">
        <v>183</v>
      </c>
      <c r="I20" s="3" t="s">
        <v>184</v>
      </c>
      <c r="J20" s="3"/>
      <c r="K20" s="3" t="s">
        <v>94</v>
      </c>
      <c r="L20" s="6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-21</v>
      </c>
      <c r="O20" s="12"/>
    </row>
    <row r="21" spans="1:15" ht="36" customHeight="1" x14ac:dyDescent="0.3">
      <c r="A21" s="4" t="s">
        <v>54</v>
      </c>
      <c r="B21" s="4" t="s">
        <v>239</v>
      </c>
      <c r="C21" s="4" t="s">
        <v>76</v>
      </c>
      <c r="D21" s="4" t="s">
        <v>17</v>
      </c>
      <c r="E21" s="27" t="s">
        <v>185</v>
      </c>
      <c r="F21" s="3" t="s">
        <v>186</v>
      </c>
      <c r="G21" s="3" t="s">
        <v>187</v>
      </c>
      <c r="H21" s="3" t="s">
        <v>188</v>
      </c>
      <c r="I21" s="3" t="s">
        <v>189</v>
      </c>
      <c r="J21" s="3"/>
      <c r="K21" s="3" t="s">
        <v>94</v>
      </c>
      <c r="L21" s="6" t="str">
        <f>VLOOKUP(Table1[[#This Row],[Importance]],'Logic and Calculation'!$H$3:$J$12,3,FALSE)</f>
        <v>Medium</v>
      </c>
      <c r="M21" s="4">
        <v>7</v>
      </c>
      <c r="N21" s="4">
        <f>VLOOKUP(Table1[[#This Row],[Importance]],'Logic and Calculation'!$H$3:$J$12,2,FALSE)</f>
        <v>-21</v>
      </c>
      <c r="O21" s="12"/>
    </row>
    <row r="22" spans="1:15" ht="36" customHeight="1" x14ac:dyDescent="0.3">
      <c r="A22" s="4" t="s">
        <v>54</v>
      </c>
      <c r="B22" s="4" t="s">
        <v>240</v>
      </c>
      <c r="C22" s="4" t="s">
        <v>77</v>
      </c>
      <c r="D22" s="4" t="s">
        <v>17</v>
      </c>
      <c r="E22" s="33" t="s">
        <v>190</v>
      </c>
      <c r="F22" s="33" t="s">
        <v>191</v>
      </c>
      <c r="G22" s="33" t="s">
        <v>192</v>
      </c>
      <c r="H22" s="33" t="s">
        <v>193</v>
      </c>
      <c r="I22" s="33" t="s">
        <v>194</v>
      </c>
      <c r="J22" s="52"/>
      <c r="K22" s="7" t="s">
        <v>94</v>
      </c>
      <c r="L22" s="6" t="str">
        <f>VLOOKUP(Table1[[#This Row],[Importance]],'Logic and Calculation'!$H$3:$J$12,3,FALSE)</f>
        <v>Visibility</v>
      </c>
      <c r="M22" s="6">
        <v>1</v>
      </c>
      <c r="N22" s="6">
        <f>VLOOKUP(Table1[[#This Row],[Importance]],'Logic and Calculation'!$H$3:$J$12,2,FALSE)</f>
        <v>0</v>
      </c>
      <c r="O22" s="26"/>
    </row>
    <row r="23" spans="1:15" ht="36" customHeight="1" x14ac:dyDescent="0.3">
      <c r="A23" s="4" t="s">
        <v>55</v>
      </c>
      <c r="B23" s="4" t="s">
        <v>241</v>
      </c>
      <c r="C23" s="4" t="s">
        <v>78</v>
      </c>
      <c r="D23" s="4" t="s">
        <v>17</v>
      </c>
      <c r="E23" s="33" t="s">
        <v>195</v>
      </c>
      <c r="F23" s="33" t="s">
        <v>196</v>
      </c>
      <c r="G23" s="33" t="s">
        <v>197</v>
      </c>
      <c r="H23" s="33" t="s">
        <v>198</v>
      </c>
      <c r="I23" s="33" t="s">
        <v>199</v>
      </c>
      <c r="J23" s="33"/>
      <c r="K23" s="3" t="s">
        <v>94</v>
      </c>
      <c r="L23" s="6" t="str">
        <f>VLOOKUP(Table1[[#This Row],[Importance]],'Logic and Calculation'!$H$3:$J$12,3,FALSE)</f>
        <v>Visibility</v>
      </c>
      <c r="M23" s="4">
        <v>1</v>
      </c>
      <c r="N23" s="4">
        <f>VLOOKUP(Table1[[#This Row],[Importance]],'Logic and Calculation'!$H$3:$J$12,2,FALSE)</f>
        <v>0</v>
      </c>
      <c r="O23" s="12"/>
    </row>
    <row r="24" spans="1:15" ht="36" customHeight="1" x14ac:dyDescent="0.3">
      <c r="A24" s="4" t="s">
        <v>55</v>
      </c>
      <c r="B24" s="4" t="s">
        <v>242</v>
      </c>
      <c r="C24" s="4" t="s">
        <v>79</v>
      </c>
      <c r="D24" s="4" t="s">
        <v>17</v>
      </c>
      <c r="E24" s="33" t="s">
        <v>200</v>
      </c>
      <c r="F24" s="33" t="s">
        <v>201</v>
      </c>
      <c r="G24" s="33" t="s">
        <v>202</v>
      </c>
      <c r="H24" s="33" t="s">
        <v>203</v>
      </c>
      <c r="I24" s="33" t="s">
        <v>204</v>
      </c>
      <c r="J24" s="33"/>
      <c r="K24" s="3" t="s">
        <v>94</v>
      </c>
      <c r="L24" s="6" t="str">
        <f>VLOOKUP(Table1[[#This Row],[Importance]],'Logic and Calculation'!$H$3:$J$12,3,FALSE)</f>
        <v>Visibility</v>
      </c>
      <c r="M24" s="4">
        <v>1</v>
      </c>
      <c r="N24" s="4">
        <f>VLOOKUP(Table1[[#This Row],[Importance]],'Logic and Calculation'!$H$3:$J$12,2,FALSE)</f>
        <v>0</v>
      </c>
      <c r="O24" s="12"/>
    </row>
    <row r="25" spans="1:15" ht="36" customHeight="1" x14ac:dyDescent="0.3">
      <c r="A25" s="4" t="s">
        <v>56</v>
      </c>
      <c r="B25" s="4" t="s">
        <v>243</v>
      </c>
      <c r="C25" s="4" t="s">
        <v>80</v>
      </c>
      <c r="D25" s="4" t="s">
        <v>17</v>
      </c>
      <c r="E25" s="33" t="s">
        <v>205</v>
      </c>
      <c r="F25" s="33" t="s">
        <v>206</v>
      </c>
      <c r="G25" s="33" t="s">
        <v>207</v>
      </c>
      <c r="H25" s="33" t="s">
        <v>208</v>
      </c>
      <c r="I25" s="33" t="s">
        <v>209</v>
      </c>
      <c r="J25" s="33"/>
      <c r="K25" s="3" t="s">
        <v>94</v>
      </c>
      <c r="L25" s="6" t="str">
        <f>VLOOKUP(Table1[[#This Row],[Importance]],'Logic and Calculation'!$H$3:$J$12,3,FALSE)</f>
        <v>Visibility</v>
      </c>
      <c r="M25" s="4">
        <v>1</v>
      </c>
      <c r="N25" s="4">
        <f>VLOOKUP(Table1[[#This Row],[Importance]],'Logic and Calculation'!$H$3:$J$12,2,FALSE)</f>
        <v>0</v>
      </c>
      <c r="O25" s="12"/>
    </row>
    <row r="26" spans="1:15" ht="36" customHeight="1" x14ac:dyDescent="0.3">
      <c r="A26" s="4" t="s">
        <v>56</v>
      </c>
      <c r="B26" s="4" t="s">
        <v>244</v>
      </c>
      <c r="C26" s="4" t="s">
        <v>81</v>
      </c>
      <c r="D26" s="4" t="s">
        <v>17</v>
      </c>
      <c r="E26" s="33" t="s">
        <v>210</v>
      </c>
      <c r="F26" s="33" t="s">
        <v>211</v>
      </c>
      <c r="G26" s="33" t="s">
        <v>212</v>
      </c>
      <c r="H26" s="33" t="s">
        <v>213</v>
      </c>
      <c r="I26" s="33" t="s">
        <v>214</v>
      </c>
      <c r="J26" s="33"/>
      <c r="K26" s="3" t="s">
        <v>94</v>
      </c>
      <c r="L26" s="6" t="str">
        <f>VLOOKUP(Table1[[#This Row],[Importance]],'Logic and Calculation'!$H$3:$J$12,3,FALSE)</f>
        <v>Visibility</v>
      </c>
      <c r="M26" s="4">
        <v>1</v>
      </c>
      <c r="N26" s="4">
        <f>VLOOKUP(Table1[[#This Row],[Importance]],'Logic and Calculation'!$H$3:$J$12,2,FALSE)</f>
        <v>0</v>
      </c>
      <c r="O26" s="12"/>
    </row>
    <row r="27" spans="1:15" ht="60" customHeight="1" x14ac:dyDescent="0.3">
      <c r="A27" s="4" t="s">
        <v>56</v>
      </c>
      <c r="B27" s="4" t="s">
        <v>245</v>
      </c>
      <c r="C27" s="4" t="s">
        <v>82</v>
      </c>
      <c r="D27" s="4" t="s">
        <v>17</v>
      </c>
      <c r="E27" s="33" t="s">
        <v>215</v>
      </c>
      <c r="F27" s="33" t="s">
        <v>216</v>
      </c>
      <c r="G27" s="33" t="s">
        <v>217</v>
      </c>
      <c r="H27" s="33" t="s">
        <v>218</v>
      </c>
      <c r="I27" s="33" t="s">
        <v>219</v>
      </c>
      <c r="J27" s="33"/>
      <c r="K27" s="3" t="s">
        <v>94</v>
      </c>
      <c r="L27" s="6" t="str">
        <f>VLOOKUP(Table1[[#This Row],[Importance]],'Logic and Calculation'!$H$3:$J$12,3,FALSE)</f>
        <v>Low</v>
      </c>
      <c r="M27" s="4">
        <v>3</v>
      </c>
      <c r="N27" s="4">
        <f>VLOOKUP(Table1[[#This Row],[Importance]],'Logic and Calculation'!$H$3:$J$12,2,FALSE)</f>
        <v>-9</v>
      </c>
      <c r="O27" s="12"/>
    </row>
  </sheetData>
  <phoneticPr fontId="13" type="noConversion"/>
  <conditionalFormatting sqref="D2:D27">
    <cfRule type="cellIs" dxfId="3" priority="4" stopIfTrue="1" operator="equal">
      <formula>"OK"</formula>
    </cfRule>
    <cfRule type="cellIs" dxfId="2" priority="5" stopIfTrue="1" operator="equal">
      <formula>"PARTIAL"</formula>
    </cfRule>
    <cfRule type="cellIs" dxfId="1" priority="6" stopIfTrue="1" operator="equal">
      <formula>"FLAG"</formula>
    </cfRule>
  </conditionalFormatting>
  <dataValidations count="1">
    <dataValidation type="list" allowBlank="1" sqref="D2:D2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workbookViewId="0">
      <pane ySplit="7" topLeftCell="A8" activePane="bottomLeft" state="frozen"/>
      <selection pane="bottomLeft" activeCell="H21" sqref="H21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19</v>
      </c>
    </row>
    <row r="2" spans="1:13" x14ac:dyDescent="0.3">
      <c r="A2" t="s">
        <v>20</v>
      </c>
      <c r="B2">
        <v>100</v>
      </c>
      <c r="D2" t="s">
        <v>21</v>
      </c>
      <c r="H2" s="9" t="s">
        <v>14</v>
      </c>
      <c r="I2" s="9" t="s">
        <v>22</v>
      </c>
      <c r="J2" s="9" t="s">
        <v>23</v>
      </c>
      <c r="L2" s="20" t="s">
        <v>50</v>
      </c>
      <c r="M2" s="20" t="s">
        <v>24</v>
      </c>
    </row>
    <row r="3" spans="1:13" x14ac:dyDescent="0.3">
      <c r="A3" t="s">
        <v>25</v>
      </c>
      <c r="B3">
        <f>SUM(F8:F970)</f>
        <v>0</v>
      </c>
      <c r="D3" t="s">
        <v>45</v>
      </c>
      <c r="H3">
        <v>10</v>
      </c>
      <c r="I3" s="39">
        <v>-30</v>
      </c>
      <c r="J3" t="s">
        <v>26</v>
      </c>
      <c r="L3" t="s">
        <v>44</v>
      </c>
      <c r="M3" t="s">
        <v>39</v>
      </c>
    </row>
    <row r="4" spans="1:13" x14ac:dyDescent="0.3">
      <c r="A4" t="s">
        <v>27</v>
      </c>
      <c r="B4">
        <f>B2+B3</f>
        <v>100</v>
      </c>
      <c r="D4" t="s">
        <v>46</v>
      </c>
      <c r="H4">
        <v>9</v>
      </c>
      <c r="I4" s="39">
        <v>-27</v>
      </c>
      <c r="J4" t="s">
        <v>28</v>
      </c>
      <c r="L4" t="s">
        <v>43</v>
      </c>
      <c r="M4" t="s">
        <v>40</v>
      </c>
    </row>
    <row r="5" spans="1:13" x14ac:dyDescent="0.3">
      <c r="A5" t="s">
        <v>50</v>
      </c>
      <c r="B5" t="str">
        <f>IF(B4&gt;=75,"Healthy",IF(AND(B4&lt;=74,B4&gt;=40),"Needs Attention","At Risk"))</f>
        <v>Healthy</v>
      </c>
      <c r="D5" t="s">
        <v>47</v>
      </c>
      <c r="H5">
        <v>8</v>
      </c>
      <c r="I5" s="39">
        <v>-24</v>
      </c>
      <c r="J5" t="s">
        <v>28</v>
      </c>
      <c r="L5" t="s">
        <v>42</v>
      </c>
      <c r="M5" t="s">
        <v>41</v>
      </c>
    </row>
    <row r="6" spans="1:13" x14ac:dyDescent="0.3">
      <c r="A6" t="s">
        <v>29</v>
      </c>
      <c r="B6" t="s">
        <v>30</v>
      </c>
      <c r="H6">
        <v>7</v>
      </c>
      <c r="I6" s="39">
        <v>-21</v>
      </c>
      <c r="J6" t="s">
        <v>18</v>
      </c>
    </row>
    <row r="7" spans="1:13" x14ac:dyDescent="0.3">
      <c r="H7">
        <v>6</v>
      </c>
      <c r="I7" s="39">
        <v>-18</v>
      </c>
      <c r="J7" t="s">
        <v>18</v>
      </c>
    </row>
    <row r="8" spans="1:13" x14ac:dyDescent="0.3">
      <c r="A8" t="str">
        <f>'Account Implement_Reference'!B2</f>
        <v>I001</v>
      </c>
      <c r="B8" t="str">
        <f>'Account Implement_Reference'!A2</f>
        <v>Access &amp; Connectivity</v>
      </c>
      <c r="C8" t="str">
        <f>'Account Implement_Reference'!C2</f>
        <v>Salesforce Access Confirmed</v>
      </c>
      <c r="D8" t="str">
        <f>'Account Implement_Reference'!D2</f>
        <v>OK</v>
      </c>
      <c r="E8">
        <f>'Account Implement_Reference'!N2</f>
        <v>-15</v>
      </c>
      <c r="F8">
        <f t="shared" ref="F8:F33" si="0">IF(D8="FLAG",E8,IF(D8="PARTIAL",E8*0.5,0))</f>
        <v>0</v>
      </c>
      <c r="H8">
        <v>5</v>
      </c>
      <c r="I8" s="39">
        <v>-15</v>
      </c>
      <c r="J8" t="s">
        <v>18</v>
      </c>
    </row>
    <row r="9" spans="1:13" x14ac:dyDescent="0.3">
      <c r="A9" t="str">
        <f>'Account Implement_Reference'!B3</f>
        <v>I002</v>
      </c>
      <c r="B9" t="str">
        <f>'Account Implement_Reference'!A3</f>
        <v>Access &amp; Connectivity</v>
      </c>
      <c r="C9" t="str">
        <f>'Account Implement_Reference'!C3</f>
        <v>GMC + GA4 Linked to Google Ads</v>
      </c>
      <c r="D9" t="str">
        <f>'Account Implement_Reference'!D3</f>
        <v>OK</v>
      </c>
      <c r="E9">
        <f>'Account Implement_Reference'!N3</f>
        <v>-24</v>
      </c>
      <c r="F9">
        <f t="shared" si="0"/>
        <v>0</v>
      </c>
      <c r="H9">
        <v>4</v>
      </c>
      <c r="I9" s="39">
        <v>-12</v>
      </c>
      <c r="J9" t="s">
        <v>31</v>
      </c>
    </row>
    <row r="10" spans="1:13" x14ac:dyDescent="0.3">
      <c r="A10" t="str">
        <f>'Account Implement_Reference'!B4</f>
        <v>I003</v>
      </c>
      <c r="B10" t="str">
        <f>'Account Implement_Reference'!A4</f>
        <v>Access &amp; Connectivity</v>
      </c>
      <c r="C10" t="str">
        <f>'Account Implement_Reference'!C4</f>
        <v>Conversion Tag Active &amp; Firing</v>
      </c>
      <c r="D10" t="str">
        <f>'Account Implement_Reference'!D4</f>
        <v>OK</v>
      </c>
      <c r="E10">
        <f>'Account Implement_Reference'!N4</f>
        <v>-30</v>
      </c>
      <c r="F10">
        <f t="shared" si="0"/>
        <v>0</v>
      </c>
      <c r="H10">
        <v>3</v>
      </c>
      <c r="I10" s="39">
        <v>-9</v>
      </c>
      <c r="J10" t="s">
        <v>31</v>
      </c>
    </row>
    <row r="11" spans="1:13" x14ac:dyDescent="0.3">
      <c r="A11" t="str">
        <f>'Account Implement_Reference'!B5</f>
        <v>I004</v>
      </c>
      <c r="B11" t="str">
        <f>'Account Implement_Reference'!A5</f>
        <v>Access &amp; Connectivity</v>
      </c>
      <c r="C11" t="str">
        <f>'Account Implement_Reference'!C5</f>
        <v>Billing Status Active</v>
      </c>
      <c r="D11" t="str">
        <f>'Account Implement_Reference'!D5</f>
        <v>OK</v>
      </c>
      <c r="E11">
        <f>'Account Implement_Reference'!N5</f>
        <v>-30</v>
      </c>
      <c r="F11">
        <f t="shared" si="0"/>
        <v>0</v>
      </c>
      <c r="H11">
        <v>2</v>
      </c>
      <c r="I11" s="39">
        <v>-6</v>
      </c>
      <c r="J11" t="s">
        <v>32</v>
      </c>
    </row>
    <row r="12" spans="1:13" x14ac:dyDescent="0.3">
      <c r="A12" t="str">
        <f>'Account Implement_Reference'!B6</f>
        <v>I005</v>
      </c>
      <c r="B12" t="str">
        <f>'Account Implement_Reference'!A6</f>
        <v>Access &amp; Connectivity</v>
      </c>
      <c r="C12" t="str">
        <f>'Account Implement_Reference'!C6</f>
        <v>Policy Violations = Zero</v>
      </c>
      <c r="D12" t="str">
        <f>'Account Implement_Reference'!D6</f>
        <v>OK</v>
      </c>
      <c r="E12">
        <f>'Account Implement_Reference'!N6</f>
        <v>-30</v>
      </c>
      <c r="F12">
        <f t="shared" si="0"/>
        <v>0</v>
      </c>
      <c r="H12">
        <v>1</v>
      </c>
      <c r="I12" s="39">
        <v>0</v>
      </c>
      <c r="J12" t="s">
        <v>32</v>
      </c>
    </row>
    <row r="13" spans="1:13" x14ac:dyDescent="0.3">
      <c r="A13" t="str">
        <f>'Account Implement_Reference'!B7</f>
        <v>I006</v>
      </c>
      <c r="B13" t="str">
        <f>'Account Implement_Reference'!A7</f>
        <v>Access &amp; Connectivity</v>
      </c>
      <c r="C13" t="str">
        <f>'Account Implement_Reference'!C7</f>
        <v>Product Disapproval Rate &lt; 10%</v>
      </c>
      <c r="D13" t="str">
        <f>'Account Implement_Reference'!D7</f>
        <v>OK</v>
      </c>
      <c r="E13">
        <f>'Account Implement_Reference'!N7</f>
        <v>-30</v>
      </c>
      <c r="F13">
        <f t="shared" si="0"/>
        <v>0</v>
      </c>
    </row>
    <row r="14" spans="1:13" x14ac:dyDescent="0.3">
      <c r="A14" t="str">
        <f>'Account Implement_Reference'!B8</f>
        <v>I007</v>
      </c>
      <c r="B14" t="str">
        <f>'Account Implement_Reference'!A8</f>
        <v>Feed &amp; Data Sources</v>
      </c>
      <c r="C14" t="str">
        <f>'Account Implement_Reference'!C8</f>
        <v>GMC Feed Duplication Check</v>
      </c>
      <c r="D14" t="str">
        <f>'Account Implement_Reference'!D8</f>
        <v>OK</v>
      </c>
      <c r="E14">
        <f>'Account Implement_Reference'!N8</f>
        <v>-21</v>
      </c>
      <c r="F14">
        <f t="shared" si="0"/>
        <v>0</v>
      </c>
    </row>
    <row r="15" spans="1:13" x14ac:dyDescent="0.3">
      <c r="A15" t="str">
        <f>'Account Implement_Reference'!B9</f>
        <v>I008</v>
      </c>
      <c r="B15" t="str">
        <f>'Account Implement_Reference'!A9</f>
        <v>Feed &amp; Data Sources</v>
      </c>
      <c r="C15" t="str">
        <f>'Account Implement_Reference'!C9</f>
        <v>Quartile Portal Feed Active</v>
      </c>
      <c r="D15" t="str">
        <f>'Account Implement_Reference'!D9</f>
        <v>OK</v>
      </c>
      <c r="E15">
        <f>'Account Implement_Reference'!N9</f>
        <v>0</v>
      </c>
      <c r="F15">
        <f t="shared" si="0"/>
        <v>0</v>
      </c>
    </row>
    <row r="16" spans="1:13" x14ac:dyDescent="0.3">
      <c r="A16" t="str">
        <f>'Account Implement_Reference'!B10</f>
        <v>I009</v>
      </c>
      <c r="B16" t="str">
        <f>'Account Implement_Reference'!A10</f>
        <v>Feed &amp; Data Sources</v>
      </c>
      <c r="C16" t="str">
        <f>'Account Implement_Reference'!C10</f>
        <v>Shopify / E-commerce Platform Connected</v>
      </c>
      <c r="D16" t="str">
        <f>'Account Implement_Reference'!D10</f>
        <v>OK</v>
      </c>
      <c r="E16">
        <f>'Account Implement_Reference'!N10</f>
        <v>0</v>
      </c>
      <c r="F16">
        <f t="shared" si="0"/>
        <v>0</v>
      </c>
    </row>
    <row r="17" spans="1:6" x14ac:dyDescent="0.3">
      <c r="A17" t="str">
        <f>'Account Implement_Reference'!B11</f>
        <v>I010</v>
      </c>
      <c r="B17" t="str">
        <f>'Account Implement_Reference'!A11</f>
        <v>Feed &amp; Data Sources</v>
      </c>
      <c r="C17" t="str">
        <f>'Account Implement_Reference'!C11</f>
        <v>Data Sources Confirmed in Google Ads</v>
      </c>
      <c r="D17" t="str">
        <f>'Account Implement_Reference'!D11</f>
        <v>OK</v>
      </c>
      <c r="E17">
        <f>'Account Implement_Reference'!N11</f>
        <v>0</v>
      </c>
      <c r="F17">
        <f t="shared" si="0"/>
        <v>0</v>
      </c>
    </row>
    <row r="18" spans="1:6" x14ac:dyDescent="0.3">
      <c r="A18" t="str">
        <f>'Account Implement_Reference'!B12</f>
        <v>I011</v>
      </c>
      <c r="B18" t="str">
        <f>'Account Implement_Reference'!A12</f>
        <v>Campaign Setup</v>
      </c>
      <c r="C18" t="str">
        <f>'Account Implement_Reference'!C12</f>
        <v>Naming Conventions (QT Standard)</v>
      </c>
      <c r="D18" t="str">
        <f>'Account Implement_Reference'!D12</f>
        <v>OK</v>
      </c>
      <c r="E18">
        <f>'Account Implement_Reference'!N12</f>
        <v>0</v>
      </c>
      <c r="F18">
        <f t="shared" si="0"/>
        <v>0</v>
      </c>
    </row>
    <row r="19" spans="1:6" x14ac:dyDescent="0.3">
      <c r="A19" t="str">
        <f>'Account Implement_Reference'!B13</f>
        <v>I012</v>
      </c>
      <c r="B19" t="str">
        <f>'Account Implement_Reference'!A13</f>
        <v>Campaign Setup</v>
      </c>
      <c r="C19" t="str">
        <f>'Account Implement_Reference'!C13</f>
        <v>Location Targeting Set to Presence Only</v>
      </c>
      <c r="D19" t="str">
        <f>'Account Implement_Reference'!D13</f>
        <v>OK</v>
      </c>
      <c r="E19">
        <f>'Account Implement_Reference'!N13</f>
        <v>0</v>
      </c>
      <c r="F19">
        <f t="shared" si="0"/>
        <v>0</v>
      </c>
    </row>
    <row r="20" spans="1:6" x14ac:dyDescent="0.3">
      <c r="A20" t="str">
        <f>'Account Implement_Reference'!B14</f>
        <v>I013</v>
      </c>
      <c r="B20" t="str">
        <f>'Account Implement_Reference'!A14</f>
        <v>Campaign Setup</v>
      </c>
      <c r="C20" t="str">
        <f>'Account Implement_Reference'!C14</f>
        <v>Location Segmentation by State/Region</v>
      </c>
      <c r="D20" t="str">
        <f>'Account Implement_Reference'!D14</f>
        <v>OK</v>
      </c>
      <c r="E20">
        <f>'Account Implement_Reference'!N14</f>
        <v>-24</v>
      </c>
      <c r="F20">
        <f t="shared" si="0"/>
        <v>0</v>
      </c>
    </row>
    <row r="21" spans="1:6" x14ac:dyDescent="0.3">
      <c r="A21" t="str">
        <f>'Account Implement_Reference'!B15</f>
        <v>I014</v>
      </c>
      <c r="B21" t="str">
        <f>'Account Implement_Reference'!A15</f>
        <v>Campaign Setup</v>
      </c>
      <c r="C21" t="str">
        <f>'Account Implement_Reference'!C15</f>
        <v>Auto-Apply Recommendations Disabled</v>
      </c>
      <c r="D21" t="str">
        <f>'Account Implement_Reference'!D15</f>
        <v>OK</v>
      </c>
      <c r="E21">
        <f>'Account Implement_Reference'!N15</f>
        <v>0</v>
      </c>
      <c r="F21">
        <f t="shared" si="0"/>
        <v>0</v>
      </c>
    </row>
    <row r="22" spans="1:6" x14ac:dyDescent="0.3">
      <c r="A22" t="str">
        <f>'Account Implement_Reference'!B16</f>
        <v>I015</v>
      </c>
      <c r="B22" t="str">
        <f>'Account Implement_Reference'!A16</f>
        <v>Campaign Setup</v>
      </c>
      <c r="C22" t="str">
        <f>'Account Implement_Reference'!C16</f>
        <v>Final URL Correct &amp; Active</v>
      </c>
      <c r="D22" t="str">
        <f>'Account Implement_Reference'!D16</f>
        <v>OK</v>
      </c>
      <c r="E22">
        <f>'Account Implement_Reference'!N16</f>
        <v>0</v>
      </c>
      <c r="F22">
        <f t="shared" si="0"/>
        <v>0</v>
      </c>
    </row>
    <row r="23" spans="1:6" x14ac:dyDescent="0.3">
      <c r="A23" t="str">
        <f>'Account Implement_Reference'!B17</f>
        <v>I016</v>
      </c>
      <c r="B23" t="str">
        <f>'Account Implement_Reference'!A17</f>
        <v>Campaign Setup</v>
      </c>
      <c r="C23" t="str">
        <f>'Account Implement_Reference'!C17</f>
        <v>Promotion End Dates Correct</v>
      </c>
      <c r="D23" t="str">
        <f>'Account Implement_Reference'!D17</f>
        <v>OK</v>
      </c>
      <c r="E23">
        <f>'Account Implement_Reference'!N17</f>
        <v>0</v>
      </c>
      <c r="F23">
        <f t="shared" si="0"/>
        <v>0</v>
      </c>
    </row>
    <row r="24" spans="1:6" x14ac:dyDescent="0.3">
      <c r="A24" t="str">
        <f>'Account Implement_Reference'!B18</f>
        <v>I017</v>
      </c>
      <c r="B24" t="str">
        <f>'Account Implement_Reference'!A18</f>
        <v>PMAX Setup</v>
      </c>
      <c r="C24" t="str">
        <f>'Account Implement_Reference'!C18</f>
        <v>PMAX Automation Settings Disabled</v>
      </c>
      <c r="D24" t="str">
        <f>'Account Implement_Reference'!D18</f>
        <v>OK</v>
      </c>
      <c r="E24">
        <f>'Account Implement_Reference'!N18</f>
        <v>0</v>
      </c>
      <c r="F24">
        <f t="shared" si="0"/>
        <v>0</v>
      </c>
    </row>
    <row r="25" spans="1:6" x14ac:dyDescent="0.3">
      <c r="A25" t="str">
        <f>'Account Implement_Reference'!B19</f>
        <v>I018</v>
      </c>
      <c r="B25" t="str">
        <f>'Account Implement_Reference'!A19</f>
        <v>PMAX Setup</v>
      </c>
      <c r="C25" t="str">
        <f>'Account Implement_Reference'!C19</f>
        <v>PMAX Audiences Configured (min requirements)</v>
      </c>
      <c r="D25" t="str">
        <f>'Account Implement_Reference'!D19</f>
        <v>OK</v>
      </c>
      <c r="E25">
        <f>'Account Implement_Reference'!N19</f>
        <v>0</v>
      </c>
      <c r="F25">
        <f t="shared" si="0"/>
        <v>0</v>
      </c>
    </row>
    <row r="26" spans="1:6" x14ac:dyDescent="0.3">
      <c r="A26" t="str">
        <f>'Account Implement_Reference'!B20</f>
        <v>I019</v>
      </c>
      <c r="B26" t="str">
        <f>'Account Implement_Reference'!A20</f>
        <v>PMAX Setup</v>
      </c>
      <c r="C26" t="str">
        <f>'Account Implement_Reference'!C20</f>
        <v>PMAX Search Themes Set (min 10)</v>
      </c>
      <c r="D26" t="str">
        <f>'Account Implement_Reference'!D20</f>
        <v>OK</v>
      </c>
      <c r="E26">
        <f>'Account Implement_Reference'!N20</f>
        <v>-21</v>
      </c>
      <c r="F26">
        <f t="shared" si="0"/>
        <v>0</v>
      </c>
    </row>
    <row r="27" spans="1:6" x14ac:dyDescent="0.3">
      <c r="A27" t="str">
        <f>'Account Implement_Reference'!B21</f>
        <v>I020</v>
      </c>
      <c r="B27" t="str">
        <f>'Account Implement_Reference'!A21</f>
        <v>PMAX Setup</v>
      </c>
      <c r="C27" t="str">
        <f>'Account Implement_Reference'!C21</f>
        <v>PMAX Images Present &amp; Approved</v>
      </c>
      <c r="D27" t="str">
        <f>'Account Implement_Reference'!D21</f>
        <v>OK</v>
      </c>
      <c r="E27">
        <f>'Account Implement_Reference'!N21</f>
        <v>-21</v>
      </c>
      <c r="F27">
        <f t="shared" si="0"/>
        <v>0</v>
      </c>
    </row>
    <row r="28" spans="1:6" x14ac:dyDescent="0.3">
      <c r="A28" t="str">
        <f>'Account Implement_Reference'!B22</f>
        <v>I021</v>
      </c>
      <c r="B28" t="str">
        <f>'Account Implement_Reference'!A22</f>
        <v>PMAX Setup</v>
      </c>
      <c r="C28" t="str">
        <f>'Account Implement_Reference'!C22</f>
        <v>PMAX Listing Groups Eligible</v>
      </c>
      <c r="D28" t="str">
        <f>'Account Implement_Reference'!D22</f>
        <v>OK</v>
      </c>
      <c r="E28">
        <f>'Account Implement_Reference'!N22</f>
        <v>0</v>
      </c>
      <c r="F28">
        <f t="shared" si="0"/>
        <v>0</v>
      </c>
    </row>
    <row r="29" spans="1:6" x14ac:dyDescent="0.3">
      <c r="A29" t="str">
        <f>'Account Implement_Reference'!B23</f>
        <v>I022</v>
      </c>
      <c r="B29" t="str">
        <f>'Account Implement_Reference'!A23</f>
        <v>Shopping Setup</v>
      </c>
      <c r="C29" t="str">
        <f>'Account Implement_Reference'!C23</f>
        <v>Shopping Campaign Priority Correct</v>
      </c>
      <c r="D29" t="str">
        <f>'Account Implement_Reference'!D23</f>
        <v>OK</v>
      </c>
      <c r="E29">
        <f>'Account Implement_Reference'!N23</f>
        <v>0</v>
      </c>
      <c r="F29">
        <f t="shared" si="0"/>
        <v>0</v>
      </c>
    </row>
    <row r="30" spans="1:6" x14ac:dyDescent="0.3">
      <c r="A30" t="str">
        <f>'Account Implement_Reference'!B24</f>
        <v>I023</v>
      </c>
      <c r="B30" t="str">
        <f>'Account Implement_Reference'!A24</f>
        <v>Shopping Setup</v>
      </c>
      <c r="C30" t="str">
        <f>'Account Implement_Reference'!C24</f>
        <v>Negative Lists Created &amp; Assigned</v>
      </c>
      <c r="D30" t="str">
        <f>'Account Implement_Reference'!D24</f>
        <v>OK</v>
      </c>
      <c r="E30">
        <f>'Account Implement_Reference'!N24</f>
        <v>0</v>
      </c>
      <c r="F30">
        <f t="shared" si="0"/>
        <v>0</v>
      </c>
    </row>
    <row r="31" spans="1:6" x14ac:dyDescent="0.3">
      <c r="A31" t="str">
        <f>'Account Implement_Reference'!B25</f>
        <v>I024</v>
      </c>
      <c r="B31" t="str">
        <f>'Account Implement_Reference'!A25</f>
        <v>Ad Extensions &amp; Quality</v>
      </c>
      <c r="C31" t="str">
        <f>'Account Implement_Reference'!C25</f>
        <v>Sitelink Extensions (min 4)</v>
      </c>
      <c r="D31" t="str">
        <f>'Account Implement_Reference'!D25</f>
        <v>OK</v>
      </c>
      <c r="E31">
        <f>'Account Implement_Reference'!N25</f>
        <v>0</v>
      </c>
      <c r="F31">
        <f t="shared" si="0"/>
        <v>0</v>
      </c>
    </row>
    <row r="32" spans="1:6" x14ac:dyDescent="0.3">
      <c r="A32" t="str">
        <f>'Account Implement_Reference'!B26</f>
        <v>I025</v>
      </c>
      <c r="B32" t="str">
        <f>'Account Implement_Reference'!A26</f>
        <v>Ad Extensions &amp; Quality</v>
      </c>
      <c r="C32" t="str">
        <f>'Account Implement_Reference'!C26</f>
        <v>Business Name Present</v>
      </c>
      <c r="D32" t="str">
        <f>'Account Implement_Reference'!D26</f>
        <v>OK</v>
      </c>
      <c r="E32">
        <f>'Account Implement_Reference'!N26</f>
        <v>0</v>
      </c>
      <c r="F32">
        <f t="shared" si="0"/>
        <v>0</v>
      </c>
    </row>
    <row r="33" spans="1:6" x14ac:dyDescent="0.3">
      <c r="A33" t="str">
        <f>'Account Implement_Reference'!B27</f>
        <v>I026</v>
      </c>
      <c r="B33" t="str">
        <f>'Account Implement_Reference'!A27</f>
        <v>Ad Extensions &amp; Quality</v>
      </c>
      <c r="C33" t="str">
        <f>'Account Implement_Reference'!C27</f>
        <v>Logo Asset Approved (min 1)</v>
      </c>
      <c r="D33" t="str">
        <f>'Account Implement_Reference'!D27</f>
        <v>OK</v>
      </c>
      <c r="E33">
        <f>'Account Implement_Reference'!N27</f>
        <v>-9</v>
      </c>
      <c r="F33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Implement_Analysis</vt:lpstr>
      <vt:lpstr>Account Implement_Reference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2026-05-21T18:56:03Z</dcterms:modified>
</cp:coreProperties>
</file>