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GOOGLE FULL ANALYSIS/coe-full-analysis/"/>
    </mc:Choice>
  </mc:AlternateContent>
  <xr:revisionPtr revIDLastSave="29" documentId="8_{E6D9F61A-EB24-4886-A9D4-777E4658DB38}" xr6:coauthVersionLast="47" xr6:coauthVersionMax="47" xr10:uidLastSave="{93672C84-5407-4D92-9B50-4B923EBCEEC2}"/>
  <bookViews>
    <workbookView xWindow="-28920" yWindow="-15" windowWidth="29040" windowHeight="15720" xr2:uid="{00000000-000D-0000-FFFF-FFFF00000000}"/>
  </bookViews>
  <sheets>
    <sheet name="Account Strategy_Analysis" sheetId="1" r:id="rId1"/>
    <sheet name="Account Strateg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2" l="1"/>
  <c r="E8" i="3" s="1"/>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N16" i="2"/>
  <c r="E22" i="3" s="1"/>
  <c r="N17" i="2"/>
  <c r="E23" i="3" s="1"/>
  <c r="N18" i="2"/>
  <c r="E24" i="3" s="1"/>
  <c r="N19" i="2"/>
  <c r="E25" i="3" s="1"/>
  <c r="N20" i="2"/>
  <c r="E26" i="3" s="1"/>
  <c r="N21" i="2"/>
  <c r="E27" i="3" s="1"/>
  <c r="N22" i="2"/>
  <c r="E28" i="3" s="1"/>
  <c r="L2" i="2"/>
  <c r="A12" i="1" s="1" a="1"/>
  <c r="A12" i="1" s="1"/>
  <c r="L3" i="2"/>
  <c r="L4" i="2"/>
  <c r="L5" i="2"/>
  <c r="L6" i="2"/>
  <c r="L7" i="2"/>
  <c r="L8" i="2"/>
  <c r="L9" i="2"/>
  <c r="L10" i="2"/>
  <c r="L11" i="2"/>
  <c r="L12" i="2"/>
  <c r="L13" i="2"/>
  <c r="L14" i="2"/>
  <c r="L15" i="2"/>
  <c r="L16" i="2"/>
  <c r="L17" i="2"/>
  <c r="L18" i="2"/>
  <c r="L19" i="2"/>
  <c r="L20" i="2"/>
  <c r="L21" i="2"/>
  <c r="L22" i="2"/>
  <c r="A28" i="3"/>
  <c r="B28" i="3"/>
  <c r="C28" i="3"/>
  <c r="D28" i="3"/>
  <c r="F28" i="3"/>
  <c r="A22" i="3"/>
  <c r="B22" i="3"/>
  <c r="C22" i="3"/>
  <c r="D22" i="3"/>
  <c r="F22" i="3" s="1"/>
  <c r="A23" i="3"/>
  <c r="B23" i="3"/>
  <c r="C23" i="3"/>
  <c r="D23" i="3"/>
  <c r="F23" i="3"/>
  <c r="A24" i="3"/>
  <c r="B24" i="3"/>
  <c r="C24" i="3"/>
  <c r="D24" i="3"/>
  <c r="F24" i="3" s="1"/>
  <c r="A25" i="3"/>
  <c r="B25" i="3"/>
  <c r="C25" i="3"/>
  <c r="D25" i="3"/>
  <c r="F25" i="3"/>
  <c r="A26" i="3"/>
  <c r="B26" i="3"/>
  <c r="C26" i="3"/>
  <c r="D26" i="3"/>
  <c r="F26" i="3"/>
  <c r="A27" i="3"/>
  <c r="B27" i="3"/>
  <c r="C27" i="3"/>
  <c r="D27" i="3"/>
  <c r="F27"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C11" i="3"/>
  <c r="B11" i="3"/>
  <c r="A11" i="3"/>
  <c r="C10" i="3"/>
  <c r="B10" i="3"/>
  <c r="A10" i="3"/>
  <c r="C9" i="3"/>
  <c r="B9" i="3"/>
  <c r="A9" i="3"/>
  <c r="D8" i="3"/>
  <c r="C8" i="3"/>
  <c r="B8" i="3"/>
  <c r="A8" i="3"/>
  <c r="F8" i="3" l="1"/>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<sst xmlns="http://schemas.openxmlformats.org/spreadsheetml/2006/main" count="280" uniqueCount="219">
  <si>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</si>
  <si>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</si>
  <si>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</si>
  <si>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</si>
  <si>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</si>
  <si>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</si>
  <si>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</si>
  <si>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</si>
  <si>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</si>
  <si>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</si>
  <si>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</si>
  <si>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</si>
  <si>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</si>
  <si>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</si>
  <si>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</si>
  <si>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</si>
  <si>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</si>
  <si>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</si>
  <si>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</si>
  <si>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</si>
  <si>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</si>
  <si>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</si>
  <si>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</si>
  <si>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</si>
  <si>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</si>
  <si>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</si>
  <si>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</si>
  <si>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</si>
  <si>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</si>
  <si>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</si>
  <si>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</si>
  <si>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</si>
  <si>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</si>
  <si>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</si>
  <si>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</si>
  <si>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</si>
  <si>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</si>
  <si>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</si>
  <si>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</si>
  <si>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</si>
  <si>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</si>
  <si>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</si>
  <si>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</si>
  <si>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</si>
  <si>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</si>
  <si>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</si>
  <si>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</si>
  <si>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</si>
  <si>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</si>
  <si>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 xml:space="preserve">Strategy Version &gt; </t>
  </si>
  <si>
    <t>Strategy Grade</t>
  </si>
  <si>
    <t>Shopping &amp; PMAX Strategies</t>
  </si>
  <si>
    <t>S001</t>
  </si>
  <si>
    <t>Catchall / Everything Else Campaign</t>
  </si>
  <si>
    <t>S002</t>
  </si>
  <si>
    <t>Top Products Campaign</t>
  </si>
  <si>
    <t>S003</t>
  </si>
  <si>
    <t>Price Tier / Margin Campaign</t>
  </si>
  <si>
    <t>S004</t>
  </si>
  <si>
    <t>Brand Campaign (Shopping/PMAX)</t>
  </si>
  <si>
    <t>S005</t>
  </si>
  <si>
    <t>Shopping Suppression Campaign Active</t>
  </si>
  <si>
    <t>S006</t>
  </si>
  <si>
    <t>Product Type Campaigns</t>
  </si>
  <si>
    <t>CWCD Structure</t>
  </si>
  <si>
    <t>S007</t>
  </si>
  <si>
    <t>Zombie Campaign Active</t>
  </si>
  <si>
    <t>S008</t>
  </si>
  <si>
    <t>Remnant Campaign Active</t>
  </si>
  <si>
    <t>S009</t>
  </si>
  <si>
    <t>Query-Based Campaign Active</t>
  </si>
  <si>
    <t>Paid Search Strategies</t>
  </si>
  <si>
    <t>S010</t>
  </si>
  <si>
    <t>Branded Search Campaign (TM Exact/SKW)</t>
  </si>
  <si>
    <t>S011</t>
  </si>
  <si>
    <t>Non-Brand (NB) Search Campaign</t>
  </si>
  <si>
    <t>S012</t>
  </si>
  <si>
    <t>DSA / NB DSA Campaign</t>
  </si>
  <si>
    <t>S013</t>
  </si>
  <si>
    <t>Match Type Strategy (Exact / Broad)</t>
  </si>
  <si>
    <t>Bid Adjustments &amp; Audience</t>
  </si>
  <si>
    <t>S014</t>
  </si>
  <si>
    <t>Device Bid Adjustments Applied</t>
  </si>
  <si>
    <t>S015</t>
  </si>
  <si>
    <t>Demographic Segmentation (Age / Gender)</t>
  </si>
  <si>
    <t>S016</t>
  </si>
  <si>
    <t>Location Bid Adjustments Applied</t>
  </si>
  <si>
    <t>Budget Allocation</t>
  </si>
  <si>
    <t>S017</t>
  </si>
  <si>
    <t>Campaign Budget Allocation Optimized</t>
  </si>
  <si>
    <t>S018</t>
  </si>
  <si>
    <t>PMAX vs Search vs Shopping Spend Balance</t>
  </si>
  <si>
    <t>Demand Gen &amp; Display</t>
  </si>
  <si>
    <t>S019</t>
  </si>
  <si>
    <t>Demand Gen Prospecting Campaign</t>
  </si>
  <si>
    <t>S020</t>
  </si>
  <si>
    <t>Demand Gen Remarketing Campaign</t>
  </si>
  <si>
    <t>S021</t>
  </si>
  <si>
    <t>Optimized Targeting Disabled (Display/DG)</t>
  </si>
  <si>
    <t>Confirm a Catchall or Everything Else campaign exists to capture long-tail and unassigned product traffic.</t>
  </si>
  <si>
    <t>Without a Catchall, products not in dedicated campaigns receive no spend — leaving revenue on the table.</t>
  </si>
  <si>
    <t>Tab 13_Campaign_Gold_Metrics: scan CampaignName for 'EE', 'Catchall', 'General', 'Everything' patterns.</t>
  </si>
  <si>
    <t>Observed: Catchall/EE campaign detected = {Catchall_flag}. Campaign: {Catchall_campaign_name}.</t>
  </si>
  <si>
    <t>A missing Catchall campaign means unoptimized products get zero exposure, permanently capping revenue breadth.</t>
  </si>
  <si>
    <t>13_Campaign_Gold_Metrics</t>
  </si>
  <si>
    <t>Confirm a dedicated Top Products campaign exists targeting the account's highest-converting SKUs.</t>
  </si>
  <si>
    <t>Top Products campaigns concentrate budget on proven revenue drivers, improving account-level ROAS efficiency.</t>
  </si>
  <si>
    <t>Tab 13_Campaign_Gold_Metrics: scan for 'Top', 'TopProducts', 'Best' in CampaignName. Cross-ref with 24_PLA_Summary top 5.</t>
  </si>
  <si>
    <t>Observed: Top Products campaign detected = {Top_products_flag}. Campaign: {Top_campaign_name}.</t>
  </si>
  <si>
    <t>Without a dedicated Top Products campaign, high-value SKUs compete for budget with low performers, compressing ROAS.</t>
  </si>
  <si>
    <t>13_Campaign_Gold_Metrics + 24_PLA_Summary</t>
  </si>
  <si>
    <t>Confirm at least one campaign is segmented by price tier or margin to protect high-margin product efficiency.</t>
  </si>
  <si>
    <t>Margin-based campaigns prevent low-margin products from consuming budget that should go to profitable SKUs.</t>
  </si>
  <si>
    <t>Tab 13_Campaign_Gold_Metrics: scan for 'PriceTier', 'Price_Tier', 'Margin' in CampaignName. Tab 20_Price_Competitiveness for price gap data.</t>
  </si>
  <si>
    <t>Observed: Price Tier/Margin campaign detected = {Price_tier_flag}. Campaign: {Price_tier_campaign_name}.</t>
  </si>
  <si>
    <t>Without margin segmentation, campaigns optimize for revenue volume regardless of profitability, eroding true ROAS.</t>
  </si>
  <si>
    <t>13_Campaign_Gold_Metrics + 20_Price_Competitiveness</t>
  </si>
  <si>
    <t>Confirm a dedicated branded Shopping or PMAX campaign exists to capture high-intent branded traffic.</t>
  </si>
  <si>
    <t>Branded campaigns protect the brand SERP, capture high-CVR branded searches at low CPC, and prevent competitor conquest.</t>
  </si>
  <si>
    <t>Tab 13_Campaign_Gold_Metrics: scan for 'Branded', 'Brand', 'TM' in PMAX/Shopping CampaignName.</t>
  </si>
  <si>
    <t>Observed: Branded Shopping/PMAX campaign = {Brand_campaign_flag}. Campaign: {Brand_campaign_name}.</t>
  </si>
  <si>
    <t>Without a branded campaign, high-intent branded queries are either missed or blended with non-brand, inflating brand CPCs.</t>
  </si>
  <si>
    <t>Confirm a Shopping Suppression campaign is in place to prevent zero-ROI products from consuming budget.</t>
  </si>
  <si>
    <t>Suppression campaigns route unprofitable products into a controlled spend environment rather than eliminating them.</t>
  </si>
  <si>
    <t>Tab 13_Campaign_Gold_Metrics: scan for 'Suppression', 'Suppress' in CampaignName. Tab 08_Product_Shopping_Report: products with high spend and zero sales.</t>
  </si>
  <si>
    <t>Observed: Suppression campaign = {Suppression_flag}. Products with spend and zero sales = {Zero_conv_count}.</t>
  </si>
  <si>
    <t>Without suppression, zombie products drain budget indefinitely with no conversion, silently inflating CPA.</t>
  </si>
  <si>
    <t>13_Campaign_Gold_Metrics + 08_Product_Shopping_Report</t>
  </si>
  <si>
    <t>Confirm Shopping campaigns are structured by product type/category for granular bid control.</t>
  </si>
  <si>
    <t>Product-type segmentation enables category-level bid adjustments based on actual ROAS by category.</t>
  </si>
  <si>
    <t>Tab 13_Campaign_Gold_Metrics: scan for category/product-type naming patterns. Tab 08_Product_Shopping_Report: ProductTypeL1 column.</t>
  </si>
  <si>
    <t>Observed: Product type campaigns detected = {PT_campaign_count}. Categories covered: {Category_list}.</t>
  </si>
  <si>
    <t>Without product-type campaigns, all categories receive the same bids regardless of individual category ROAS performance.</t>
  </si>
  <si>
    <t>Confirm a Zombie campaign exists to capture traffic from low-impression products before they go dark.</t>
  </si>
  <si>
    <t>Zombie campaigns give low-activity products controlled spend exposure, enabling recovery of dormant revenue.</t>
  </si>
  <si>
    <t>Tab 13_Campaign_Gold_Metrics: scan for 'Zombie' in CampaignName. Tab 08_Product_Shopping_Report: products with Impressions = 0.</t>
  </si>
  <si>
    <t>Observed: Zombie campaign = {Zombie_flag}. Products with zero impressions = {Zero_imp_count}.</t>
  </si>
  <si>
    <t>Without a Zombie campaign, products with low historic impressions never get a second chance at exposure.</t>
  </si>
  <si>
    <t>Confirm a Remnant campaign exists to capture residual traffic from products not in Top or Catchall.</t>
  </si>
  <si>
    <t>Remnant campaigns ensure full product catalog coverage at controlled low-priority spend.</t>
  </si>
  <si>
    <t>Tab 13_Campaign_Gold_Metrics: scan for 'Remnant' in CampaignName.</t>
  </si>
  <si>
    <t>Observed: Remnant campaign = {Remnant_flag}. Campaign: {Remnant_campaign_name}.</t>
  </si>
  <si>
    <t>A missing Remnant campaign means mid-tier products compete directly with top products for budget and auction placement.</t>
  </si>
  <si>
    <t>Confirm a query-based Shopping campaign exists targeting specific high-intent search queries.</t>
  </si>
  <si>
    <t>Query-based campaigns capture known high-converting search patterns at elevated bids for maximum ROAS.</t>
  </si>
  <si>
    <t>Tab 13_Campaign_Gold_Metrics: scan for 'Query', 'QueryBased', 'QB' in CampaignName. Tab 11_Search_Terms_Report: high-converting queries.</t>
  </si>
  <si>
    <t>Observed: Query-based campaign = {QB_flag}. Top converting queries identified: {Top_queries}.</t>
  </si>
  <si>
    <t>Without a query-based campaign, high-intent queries compete in the general pool without dedicated budget prioritization.</t>
  </si>
  <si>
    <t>13_Campaign_Gold_Metrics + 11_Search_Terms_Report</t>
  </si>
  <si>
    <t>Confirm a branded Search campaign exists with Trademark Exact or SKW match type keywords.</t>
  </si>
  <si>
    <t>Branded Search campaigns capture high-intent branded queries at low CPC with high CVR, protecting brand SERP.</t>
  </si>
  <si>
    <t>Tab 09_Keyword_Report: filter for branded keywords (account name, brand name). Tab 13_Campaign_Gold_Metrics: scan for 'Branded', 'TM', 'Search_Branded'.</t>
  </si>
  <si>
    <t>Observed: Branded Search campaign = {Branded_search_flag}. Branded keywords count = {Branded_kw_count}.</t>
  </si>
  <si>
    <t>Without a branded Search campaign, competitors can conquest branded queries and branded traffic bleeds to PMAX at lower efficiency.</t>
  </si>
  <si>
    <t>09_Keyword_Report + 13_Campaign_Gold_Metrics</t>
  </si>
  <si>
    <t>Confirm a non-branded Search campaign exists targeting category and intent keywords.</t>
  </si>
  <si>
    <t>NB Search campaigns capture upper-funnel purchase intent that PMAX may not serve efficiently.</t>
  </si>
  <si>
    <t>Tab 09_Keyword_Report: filter for non-branded, category keywords. Tab 13_Campaign_Gold_Metrics: scan for 'NB', 'NonBrand', 'Search_NB'.</t>
  </si>
  <si>
    <t>Observed: NB Search campaign = {NB_search_flag}. NB keyword count = {NB_kw_count}.</t>
  </si>
  <si>
    <t>Without NB Search, the account relies entirely on PMAX for non-branded intent — losing keyword-level control and targeting precision.</t>
  </si>
  <si>
    <t>Confirm a DSA (Dynamic Search Ads) campaign exists for non-brand coverage.</t>
  </si>
  <si>
    <t>DSA campaigns auto-generate ads from website content, capturing long-tail queries not covered by manual keywords.</t>
  </si>
  <si>
    <t>Tab 13_Campaign_Gold_Metrics: scan for 'DSA', 'Dynamic' in CampaignName. Tab 14_Campaign_Metadata: AdvertisingChannelType = SEARCH with DSA setup.</t>
  </si>
  <si>
    <t>Observed: DSA campaign = {DSA_flag}. Campaign: {DSA_campaign_name}.</t>
  </si>
  <si>
    <t>Without DSA, long-tail non-brand queries with purchase intent are left uncaptured, leaving incremental revenue on the table.</t>
  </si>
  <si>
    <t>13_Campaign_Gold_Metrics + 14_Campaign_Metadata</t>
  </si>
  <si>
    <t>Evaluate whether keyword match type distribution is intentional and performance-driven.</t>
  </si>
  <si>
    <t>Over-reliance on Broad match inflates irrelevant queries and CPCs; over-reliance on Exact caps volume. Balance is key.</t>
  </si>
  <si>
    <t>Tab 09_Keyword_Report: MatchType column. Count EXACT vs BROAD vs PHRASE distribution. Flag if &gt;80% in one match type.</t>
  </si>
  <si>
    <t>Observed: Match type split — Exact: {Exact_pct}%, Broad: {Broad_pct}%, Phrase: {Phrase_pct}%.</t>
  </si>
  <si>
    <t>An imbalanced match type strategy either overspends on irrelevant queries (Broad-heavy) or misses volume (Exact-only).</t>
  </si>
  <si>
    <t>09_Keyword_Report</t>
  </si>
  <si>
    <t>Confirm device bid adjustments are applied based on device-level ROAS performance.</t>
  </si>
  <si>
    <t>Mobile often converts at lower rates than Desktop. Without device adjustments, budget overflows to poor-converting devices.</t>
  </si>
  <si>
    <t>Tab 16_Device_Breakdown: compare ROAS by device. Tab 14_Campaign_Metadata: check if device adjustments are configured.</t>
  </si>
  <si>
    <t>Observed: Desktop ROAS = {Desktop_ROAS}x, Mobile ROAS = {Mobile_ROAS}x, Tablet ROAS = {Tablet_ROAS}x. Adjustments applied = {Device_adj_flag}.</t>
  </si>
  <si>
    <t>Device bid adjustments ensure spend is concentrated on the devices that drive the highest ROAS for this specific account.</t>
  </si>
  <si>
    <t>16_Device_Breakdown + 14_Campaign_Metadata</t>
  </si>
  <si>
    <t>Confirm demographic bid adjustments or asset group segmentation exists where data supports it.</t>
  </si>
  <si>
    <t>Demographic segmentation enables performance-based bidding by age group and gender, improving ROAS for high-converting segments.</t>
  </si>
  <si>
    <t>Tab 22_Client_Success: Commodity_Products_or_Branded_Products__c (col 25). Manual check of Google Ads &gt; Audiences &gt; Demographics.</t>
  </si>
  <si>
    <t>Observed: Demographic segmentation configured = {Demo_seg_flag}. Account type = {Product_type}.</t>
  </si>
  <si>
    <t>Without demographic targeting for accounts with identifiable buyer profiles, budget is allocated uniformly across all audiences.</t>
  </si>
  <si>
    <t>22_Client_Success — Manual Check</t>
  </si>
  <si>
    <t>Confirm location bid adjustments are applied to concentrate spend on high-converting geographic regions.</t>
  </si>
  <si>
    <t>Geographic performance varies significantly. Applying location adjustments based on ROAS by region improves overall efficiency.</t>
  </si>
  <si>
    <t>Tab 26_Location_Performance: compare spend and ROAS by location. Flag if no adjustments despite material ROAS variance by region.</t>
  </si>
  <si>
    <t>Observed: Top performing locations = {Top_locations}. Location bid adjustments applied = {Location_adj_flag}.</t>
  </si>
  <si>
    <t>Uniform spending across all locations when ROAS varies by region represents a direct and quantifiable efficiency loss.</t>
  </si>
  <si>
    <t>26_Location_Performance</t>
  </si>
  <si>
    <t>Confirm budget is allocated proportionally to campaign ROAS performance, not distributed evenly.</t>
  </si>
  <si>
    <t>Flat budget distribution ignores performance signals. High-ROAS campaigns should receive more budget than low-ROAS campaigns.</t>
  </si>
  <si>
    <t>Tab 07_Campaigns_by_Channel_Type: Spend and Sales per channel. Tab 13_Campaign_Gold_Metrics: spend concentration by campaign.</t>
  </si>
  <si>
    <t>Observed: Top 3 campaigns by ROAS represent {Top3_spend_pct}% of total spend. Budget distribution pattern: {Distribution_pattern}.</t>
  </si>
  <si>
    <t>Even budget distribution across unequal-performing campaigns is a direct ROAS destruction mechanism.</t>
  </si>
  <si>
    <t>07_Campaigns_by_Channel_Type + 13_Campaign_Gold_Metrics</t>
  </si>
  <si>
    <t>Evaluate whether PMAX spend dominance is intentional or an unchecked default allocation.</t>
  </si>
  <si>
    <t>PMAX tends to absorb budget from Search and Shopping if unchecked. A healthy account has intentional channel allocation.</t>
  </si>
  <si>
    <t>Tab 07_Campaigns_by_Channel_Type: Perc_Spend by AdvertisingChannelType. Flag if PMAX &gt; 85% without strategic rationale.</t>
  </si>
  <si>
    <t>Observed: PMAX spend share = {PMAX_pct}%. Search = {Search_pct}%. Shopping = {Shopping_pct}%.</t>
  </si>
  <si>
    <t>Unchecked PMAX dominance eliminates keyword-level control, making it impossible to diagnose or fix performance issues.</t>
  </si>
  <si>
    <t>07_Campaigns_by_Channel_Type</t>
  </si>
  <si>
    <t>Confirm a Demand Gen campaign exists for upper-funnel prospecting to new audiences.</t>
  </si>
  <si>
    <t>Demand Gen campaigns build awareness and fill the top of the funnel. Without prospecting, the account relies entirely on in-market intent.</t>
  </si>
  <si>
    <t>Tab 07_Campaigns_by_Channel_Type: check for DEMAND_GEN channel type. Tab 13_Campaign_Gold_Metrics: scan for 'DemandGen', 'Prospecting'.</t>
  </si>
  <si>
    <t>Observed: Demand Gen campaign detected = {DG_flag}. Spend = {DG_spend}. Channel type: {DG_channel}.</t>
  </si>
  <si>
    <t>No upper-funnel prospecting means the account is fully dependent on existing demand — growth ceiling is self-imposed.</t>
  </si>
  <si>
    <t>Confirm a Demand Gen or Display remarketing campaign exists targeting past visitors or purchasers.</t>
  </si>
  <si>
    <t>Remarketing captures high-intent users who already engaged with the brand, converting at higher rates at lower CPAs.</t>
  </si>
  <si>
    <t>Tab 13_Campaign_Gold_Metrics: scan for 'Remarketing', 'Retargeting', 'RLSA' in CampaignName.</t>
  </si>
  <si>
    <t>Observed: Remarketing campaign detected = {Remarketing_flag}. Campaign: {Remarketing_campaign_name}.</t>
  </si>
  <si>
    <t>Without remarketing, the account forfeits the highest-CVR audience segment — users already familiar with the brand.</t>
  </si>
  <si>
    <t>Confirm Optimized Targeting is disabled for Display and Demand Gen campaigns to maintain audience control.</t>
  </si>
  <si>
    <t>Optimized Targeting overrides the defined audience and serves to Google's broad match — wasting budget on irrelevant users.</t>
  </si>
  <si>
    <t>Google Ads &gt; Display / Demand Gen campaigns &gt; Ad Groups &gt; Audiences. Confirm Optimized Targeting toggle = Off.</t>
  </si>
  <si>
    <t>Observed: Display/DG campaigns with Optimized Targeting enabled = {OT_enabled_count} of {Display_campaign_count}.</t>
  </si>
  <si>
    <t>Active Optimized Targeting on Display/DG campaigns disables audience precision, serving to unqualified users at scale.</t>
  </si>
  <si>
    <t>Google Ads UI — Manual Check</t>
  </si>
  <si>
    <t xml:space="preserve">What You Should 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</si>
</sst>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5">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45">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5" fillId="2" borderId="11"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4" xfId="0" applyBorder="1" applyAlignment="1">
      <alignment wrapText="1"/>
    </xf>
    <xf numFmtId="0" fontId="13" fillId="0" borderId="13"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0" fillId="0" borderId="6" xfId="0" applyBorder="1"/>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wrapText="1"/>
      <border>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92BA3-3509-44D0-83CF-E3049FFC2AE4}" name="Table1" displayName="Table1" ref="A1:O22" totalsRowShown="0" headerRowDxfId="28" dataDxfId="26" headerRowBorderDxfId="27" tableBorderDxfId="25" totalsRowBorderDxfId="24">
  <autoFilter ref="A1:O22" xr:uid="{A5592BA3-3509-44D0-83CF-E3049FFC2AE4}"/>
  <tableColumns count="15">
    <tableColumn id="1" xr3:uid="{D455A454-6453-46A0-B90E-58DE6BF50C12}" name="Block" dataDxfId="23"/>
    <tableColumn id="2" xr3:uid="{FB060614-4867-47E3-B06F-02DA2F4BFE28}" name="Control ID" dataDxfId="22"/>
    <tableColumn id="3" xr3:uid="{A48B3C20-220C-48E0-96A1-2B7999978827}" name="Control Name" dataDxfId="21"/>
    <tableColumn id="4" xr3:uid="{C0B315B8-F55C-4FB0-98C6-C5A06DE8CECC}" name="STATUS" dataDxfId="20"/>
    <tableColumn id="5" xr3:uid="{607689F7-D6D5-4332-A86A-A24606C9EEBE}" name="What" dataDxfId="19"/>
    <tableColumn id="6" xr3:uid="{6D2A4D22-6AF2-4B43-9BD4-E0EE7927A3A8}" name="Why" dataDxfId="18"/>
    <tableColumn id="7" xr3:uid="{D475F097-7552-4D7B-A7C4-4D9608B42B58}" name="How" dataDxfId="17"/>
    <tableColumn id="14" xr3:uid="{A70725CF-382C-4467-B963-64058E178C46}" name="What We Saw" dataDxfId="16"/>
    <tableColumn id="13" xr3:uid="{84E369DB-331C-4A15-A69B-36FB46AD272D}" name="Why It Matters" dataDxfId="15"/>
    <tableColumn id="15" xr3:uid="{90512A05-6BAB-40C8-BC8B-3DE60D18553F}" name="What You Should Do " dataDxfId="9"/>
    <tableColumn id="8" xr3:uid="{0567C802-8BC7-4F6A-BC3E-865AFC290E4E}" name="Data Source" dataDxfId="14"/>
    <tableColumn id="9" xr3:uid="{4FE6B8A4-E24E-4320-B398-1C83845BF264}" name="Impact" dataDxfId="13">
      <calculatedColumnFormula>VLOOKUP(Table1[[#This Row],[Importance]],'Logic and Calculation'!$H$2:$J$12,3,FALSE)</calculatedColumnFormula>
    </tableColumn>
    <tableColumn id="10" xr3:uid="{6B6B9261-D61B-41B0-A484-4466A5EE01DE}" name="Importance" dataDxfId="12"/>
    <tableColumn id="11" xr3:uid="{FE36A65F-212F-41F7-A7BC-9EBB6CAED4C0}" name="Priority" dataDxfId="11">
      <calculatedColumnFormula>VLOOKUP(Table1[[#This Row],[Importance]],'Logic and Calculation'!$H$2:$J$12,2,FALSE)</calculatedColumnFormula>
    </tableColumn>
    <tableColumn id="12" xr3:uid="{1E8ACBC3-5391-47B8-91EE-422639FCB2F8}" name="Notes/Intent" dataDxf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35"/>
  <sheetViews>
    <sheetView tabSelected="1" zoomScale="70" zoomScaleNormal="70" workbookViewId="0">
      <pane ySplit="8" topLeftCell="A9" activePane="bottomLeft" state="frozen"/>
      <selection pane="bottomLeft" activeCell="D24" sqref="D24"/>
    </sheetView>
  </sheetViews>
  <sheetFormatPr defaultRowHeight="14.4" x14ac:dyDescent="0.3"/>
  <cols>
    <col min="1" max="1" width="21.44140625" customWidth="1"/>
    <col min="2" max="2" width="27.5546875" customWidth="1"/>
    <col min="3" max="3" width="38.21875" customWidth="1"/>
    <col min="4" max="4" width="52"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4" t="s">
        <v>40</v>
      </c>
      <c r="B1" s="35"/>
      <c r="C1" s="36"/>
      <c r="D1" s="36"/>
      <c r="E1" s="36"/>
      <c r="F1" s="36"/>
      <c r="G1" s="36"/>
    </row>
    <row r="2" spans="1:7" ht="15" thickBot="1" x14ac:dyDescent="0.35">
      <c r="A2" s="16" t="s">
        <v>49</v>
      </c>
      <c r="B2" s="18" t="s">
        <v>41</v>
      </c>
      <c r="C2" s="7"/>
      <c r="D2" s="37"/>
      <c r="E2" s="38"/>
      <c r="F2" s="38"/>
      <c r="G2" s="38"/>
    </row>
    <row r="3" spans="1:7" ht="15" thickBot="1" x14ac:dyDescent="0.35">
      <c r="A3" s="15" t="s">
        <v>34</v>
      </c>
      <c r="B3" s="17" t="s">
        <v>35</v>
      </c>
      <c r="D3" s="14"/>
      <c r="E3"/>
      <c r="F3"/>
    </row>
    <row r="4" spans="1:7" ht="14.4" customHeight="1" thickBot="1" x14ac:dyDescent="0.35">
      <c r="A4" s="16" t="s">
        <v>33</v>
      </c>
      <c r="B4" s="20" t="s">
        <v>36</v>
      </c>
      <c r="C4" s="7"/>
      <c r="D4" s="37"/>
      <c r="E4" s="38"/>
      <c r="F4" s="38"/>
      <c r="G4" s="38"/>
    </row>
    <row r="5" spans="1:7" ht="14.4" customHeight="1" thickBot="1" x14ac:dyDescent="0.35">
      <c r="A5" s="16" t="s">
        <v>37</v>
      </c>
      <c r="B5" s="19">
        <v>46083.684884259259</v>
      </c>
      <c r="C5" s="7"/>
      <c r="D5" s="14"/>
      <c r="E5"/>
      <c r="F5"/>
    </row>
    <row r="6" spans="1:7" ht="15" thickBot="1" x14ac:dyDescent="0.35">
      <c r="A6" s="7"/>
      <c r="B6" s="7"/>
      <c r="C6" s="7"/>
      <c r="D6" s="12"/>
      <c r="E6" s="12"/>
      <c r="F6" s="12"/>
      <c r="G6" s="7"/>
    </row>
    <row r="7" spans="1:7" ht="21" customHeight="1" thickBot="1" x14ac:dyDescent="0.35">
      <c r="A7" s="39" t="s">
        <v>50</v>
      </c>
      <c r="B7" s="38"/>
      <c r="C7" s="38"/>
      <c r="D7" s="43" t="str">
        <f>'Logic and Calculation'!B5</f>
        <v xml:space="preserve">Compliant </v>
      </c>
      <c r="E7" s="44"/>
      <c r="F7" s="44"/>
      <c r="G7" s="44"/>
    </row>
    <row r="8" spans="1:7" ht="18" customHeight="1" x14ac:dyDescent="0.3">
      <c r="A8" s="39" t="s">
        <v>0</v>
      </c>
      <c r="B8" s="38"/>
      <c r="C8" s="38"/>
      <c r="D8" s="41"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2"/>
      <c r="F8" s="42"/>
      <c r="G8" s="42"/>
    </row>
    <row r="9" spans="1:7" ht="18" customHeight="1" x14ac:dyDescent="0.3">
      <c r="A9" s="7"/>
      <c r="B9" s="7"/>
      <c r="C9" s="7"/>
      <c r="D9" s="12"/>
      <c r="E9" s="12"/>
      <c r="F9" s="12"/>
      <c r="G9" s="7"/>
    </row>
    <row r="10" spans="1:7" x14ac:dyDescent="0.3">
      <c r="A10" s="40" t="s">
        <v>1</v>
      </c>
      <c r="B10" s="38"/>
      <c r="C10" s="38"/>
      <c r="D10" s="38"/>
      <c r="E10" s="38"/>
      <c r="F10" s="38"/>
      <c r="G10" s="38"/>
    </row>
    <row r="11" spans="1:7" ht="19.95" customHeight="1" x14ac:dyDescent="0.3">
      <c r="A11" s="1" t="s">
        <v>2</v>
      </c>
      <c r="B11" s="1" t="s">
        <v>3</v>
      </c>
      <c r="C11" s="1" t="s">
        <v>4</v>
      </c>
      <c r="D11" s="1" t="s">
        <v>5</v>
      </c>
      <c r="E11" s="1" t="s">
        <v>6</v>
      </c>
      <c r="F11" s="1" t="s">
        <v>218</v>
      </c>
      <c r="G11" s="1" t="s">
        <v>7</v>
      </c>
    </row>
    <row r="12" spans="1:7" ht="44.4" customHeight="1" x14ac:dyDescent="0.3">
      <c r="A12" s="8" t="str" cm="1">
        <f t="array" ref="A12">_xlfn.LET(
  _xlpm.id, 'Account Strategy_Reference'!B2:B22,
  _xlpm.name, 'Account Strategy_Reference'!C2:C22,
  _xlpm.st, 'Account Strategy_Reference'!D2:D22,
  _xlpm.saw, 'Account Strategy_Reference'!H2:H22,
  _xlpm.matter, 'Account Strategy_Reference'!I2:I22,
  _xlpm.impact, 'Account Strategy_Reference'!L2:L22,
  _xlpm.data, _xlfn.HSTACK(_xlpm.id, _xlpm.name, _xlpm.st, _xlpm.saw, _xlpm.matter, _xlpm.impact),
  _xlfn._xlws.FILTER(_xlpm.data, _xlpm.st&lt;&gt;"OK", "No findings — all controls OK")
)</f>
        <v>No findings — all controls OK</v>
      </c>
      <c r="B12" s="8"/>
      <c r="C12" s="9"/>
      <c r="D12" s="10"/>
      <c r="E12" s="10"/>
      <c r="F12" s="10"/>
      <c r="G12" s="8"/>
    </row>
    <row r="13" spans="1:7" ht="44.4" customHeight="1" x14ac:dyDescent="0.3">
      <c r="A13" s="8"/>
      <c r="B13" s="8"/>
      <c r="C13" s="6"/>
      <c r="D13" s="10"/>
      <c r="E13" s="10"/>
      <c r="F13" s="10"/>
      <c r="G13" s="8"/>
    </row>
    <row r="14" spans="1:7" ht="44.4" customHeight="1" x14ac:dyDescent="0.3">
      <c r="A14" s="8"/>
      <c r="B14" s="8"/>
      <c r="C14" s="6"/>
      <c r="D14" s="10"/>
      <c r="E14" s="10"/>
      <c r="F14" s="10"/>
      <c r="G14" s="8"/>
    </row>
    <row r="15" spans="1:7" ht="44.4" customHeight="1" x14ac:dyDescent="0.3">
      <c r="A15" s="8"/>
      <c r="B15" s="8"/>
      <c r="C15" s="6"/>
      <c r="D15" s="10"/>
      <c r="E15" s="10"/>
      <c r="F15" s="10"/>
      <c r="G15" s="8"/>
    </row>
    <row r="16" spans="1:7" ht="44.4" customHeight="1" x14ac:dyDescent="0.3">
      <c r="A16" s="8"/>
      <c r="B16" s="8"/>
      <c r="C16" s="6"/>
      <c r="D16" s="10"/>
      <c r="E16" s="10"/>
      <c r="F16" s="10"/>
      <c r="G16" s="8"/>
    </row>
    <row r="17" spans="1:7" ht="44.4" customHeight="1" x14ac:dyDescent="0.3">
      <c r="A17" s="8"/>
      <c r="B17" s="8"/>
      <c r="C17" s="6"/>
      <c r="D17" s="10"/>
      <c r="E17" s="10"/>
      <c r="F17" s="10"/>
      <c r="G17" s="8"/>
    </row>
    <row r="18" spans="1:7" ht="44.4" customHeight="1" x14ac:dyDescent="0.3">
      <c r="A18" s="8"/>
      <c r="B18" s="8"/>
      <c r="C18" s="6"/>
      <c r="D18" s="10"/>
      <c r="E18" s="10"/>
      <c r="F18" s="10"/>
      <c r="G18" s="8"/>
    </row>
    <row r="19" spans="1:7" ht="44.4" customHeight="1" x14ac:dyDescent="0.3">
      <c r="A19" s="8"/>
      <c r="B19" s="8"/>
      <c r="C19" s="6"/>
      <c r="D19" s="10"/>
      <c r="E19" s="10"/>
      <c r="F19" s="10"/>
      <c r="G19" s="8"/>
    </row>
    <row r="20" spans="1:7" ht="44.4" customHeight="1" x14ac:dyDescent="0.3">
      <c r="A20" s="8"/>
      <c r="B20" s="8"/>
      <c r="C20" s="6"/>
      <c r="D20" s="10"/>
      <c r="E20" s="10"/>
      <c r="F20" s="10"/>
      <c r="G20" s="8"/>
    </row>
    <row r="21" spans="1:7" ht="44.4" customHeight="1" x14ac:dyDescent="0.3">
      <c r="A21" s="8"/>
      <c r="B21" s="8"/>
      <c r="C21" s="6"/>
      <c r="D21" s="10"/>
      <c r="E21" s="10"/>
      <c r="F21" s="10"/>
      <c r="G21" s="8"/>
    </row>
    <row r="22" spans="1:7" ht="44.4" customHeight="1" x14ac:dyDescent="0.3">
      <c r="A22" s="8"/>
      <c r="B22" s="8"/>
      <c r="C22" s="6"/>
      <c r="D22" s="10"/>
      <c r="E22" s="10"/>
      <c r="F22" s="10"/>
      <c r="G22" s="8"/>
    </row>
    <row r="23" spans="1:7" ht="44.4" customHeight="1" x14ac:dyDescent="0.3">
      <c r="A23" s="8"/>
      <c r="B23" s="8"/>
      <c r="C23" s="6"/>
      <c r="D23" s="10"/>
      <c r="E23" s="10"/>
      <c r="F23" s="10"/>
      <c r="G23" s="8"/>
    </row>
    <row r="24" spans="1:7" ht="44.4" customHeight="1" x14ac:dyDescent="0.3">
      <c r="A24" s="8"/>
      <c r="B24" s="8"/>
      <c r="C24" s="6"/>
      <c r="D24" s="10"/>
      <c r="E24" s="10"/>
      <c r="F24" s="10"/>
      <c r="G24" s="8"/>
    </row>
    <row r="25" spans="1:7" ht="44.4" customHeight="1" x14ac:dyDescent="0.3">
      <c r="A25" s="8"/>
      <c r="B25" s="8"/>
      <c r="C25" s="6"/>
      <c r="D25" s="10"/>
      <c r="E25" s="10"/>
      <c r="F25" s="10"/>
      <c r="G25" s="8"/>
    </row>
    <row r="26" spans="1:7" ht="44.4" customHeight="1" x14ac:dyDescent="0.3">
      <c r="A26" s="7"/>
      <c r="B26" s="7"/>
      <c r="C26" s="6"/>
      <c r="D26" s="12"/>
      <c r="E26" s="12"/>
      <c r="F26" s="12"/>
      <c r="G26" s="7"/>
    </row>
    <row r="27" spans="1:7" ht="44.4" customHeight="1" x14ac:dyDescent="0.3">
      <c r="A27" s="7"/>
      <c r="B27" s="7"/>
      <c r="C27" s="6"/>
      <c r="D27" s="12"/>
      <c r="E27" s="12"/>
      <c r="F27" s="12"/>
      <c r="G27" s="7"/>
    </row>
    <row r="28" spans="1:7" ht="44.4" customHeight="1" x14ac:dyDescent="0.3">
      <c r="A28" s="7"/>
      <c r="B28" s="7"/>
      <c r="C28" s="6"/>
      <c r="D28" s="12"/>
      <c r="E28" s="12"/>
      <c r="F28" s="12"/>
      <c r="G28" s="7"/>
    </row>
    <row r="29" spans="1:7" ht="44.4" customHeight="1" x14ac:dyDescent="0.3">
      <c r="A29" s="7"/>
      <c r="B29" s="7"/>
      <c r="C29" s="6"/>
      <c r="D29" s="12"/>
      <c r="E29" s="12"/>
      <c r="F29" s="12"/>
      <c r="G29" s="7"/>
    </row>
    <row r="30" spans="1:7" ht="44.4" customHeight="1" x14ac:dyDescent="0.3">
      <c r="A30" s="7"/>
      <c r="B30" s="7"/>
      <c r="C30" s="6"/>
      <c r="D30" s="12"/>
      <c r="E30" s="12"/>
      <c r="F30" s="12"/>
      <c r="G30" s="7"/>
    </row>
    <row r="31" spans="1:7" ht="44.4" customHeight="1" x14ac:dyDescent="0.3">
      <c r="C31" s="6"/>
    </row>
    <row r="32" spans="1:7" ht="44.4" customHeight="1" x14ac:dyDescent="0.3">
      <c r="C32" s="6"/>
    </row>
    <row r="33" spans="3:3" ht="44.4" customHeight="1" x14ac:dyDescent="0.3">
      <c r="C33" s="6"/>
    </row>
    <row r="34" spans="3:3" ht="44.4" customHeight="1" x14ac:dyDescent="0.3">
      <c r="C34" s="6"/>
    </row>
    <row r="35" spans="3:3" ht="44.4" customHeight="1" x14ac:dyDescent="0.3">
      <c r="C35" s="6"/>
    </row>
  </sheetData>
  <mergeCells count="8">
    <mergeCell ref="A1:G1"/>
    <mergeCell ref="D4:G4"/>
    <mergeCell ref="A7:C7"/>
    <mergeCell ref="A10:G10"/>
    <mergeCell ref="D8:G8"/>
    <mergeCell ref="A8:C8"/>
    <mergeCell ref="D2:G2"/>
    <mergeCell ref="D7:G7"/>
  </mergeCells>
  <conditionalFormatting sqref="C12:C3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22"/>
  <sheetViews>
    <sheetView topLeftCell="F1" zoomScale="70" zoomScaleNormal="70" workbookViewId="0">
      <pane ySplit="1" topLeftCell="A2" activePane="bottomLeft" state="frozen"/>
      <selection pane="bottomLeft" activeCell="J8" sqref="J8"/>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2" customWidth="1"/>
    <col min="6" max="6" width="48.5546875" style="21" customWidth="1"/>
    <col min="7" max="7" width="74.88671875" style="21" customWidth="1"/>
    <col min="8" max="8" width="76.44140625" style="21" customWidth="1"/>
    <col min="9" max="10" width="59.88671875" style="21"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5" t="s">
        <v>8</v>
      </c>
      <c r="B1" s="26" t="s">
        <v>2</v>
      </c>
      <c r="C1" s="26" t="s">
        <v>3</v>
      </c>
      <c r="D1" s="26" t="s">
        <v>9</v>
      </c>
      <c r="E1" s="27" t="s">
        <v>10</v>
      </c>
      <c r="F1" s="26" t="s">
        <v>11</v>
      </c>
      <c r="G1" s="26" t="s">
        <v>12</v>
      </c>
      <c r="H1" s="26" t="s">
        <v>5</v>
      </c>
      <c r="I1" s="26" t="s">
        <v>6</v>
      </c>
      <c r="J1" s="26" t="s">
        <v>218</v>
      </c>
      <c r="K1" s="26" t="s">
        <v>13</v>
      </c>
      <c r="L1" s="26" t="s">
        <v>7</v>
      </c>
      <c r="M1" s="26" t="s">
        <v>14</v>
      </c>
      <c r="N1" s="26" t="s">
        <v>15</v>
      </c>
      <c r="O1" s="28" t="s">
        <v>16</v>
      </c>
    </row>
    <row r="2" spans="1:15" ht="54.6" customHeight="1" x14ac:dyDescent="0.3">
      <c r="A2" s="29" t="s">
        <v>51</v>
      </c>
      <c r="B2" s="3" t="s">
        <v>52</v>
      </c>
      <c r="C2" s="30" t="s">
        <v>53</v>
      </c>
      <c r="D2" s="3" t="s">
        <v>17</v>
      </c>
      <c r="E2" s="30" t="s">
        <v>99</v>
      </c>
      <c r="F2" s="30" t="s">
        <v>100</v>
      </c>
      <c r="G2" s="30" t="s">
        <v>101</v>
      </c>
      <c r="H2" s="30" t="s">
        <v>102</v>
      </c>
      <c r="I2" s="30" t="s">
        <v>103</v>
      </c>
      <c r="J2" s="30"/>
      <c r="K2" s="30" t="s">
        <v>104</v>
      </c>
      <c r="L2" s="3" t="str">
        <f>VLOOKUP(Table1[[#This Row],[Importance]],'Logic and Calculation'!$H$2:$J$12,3,FALSE)</f>
        <v>Critical</v>
      </c>
      <c r="M2" s="31">
        <v>10</v>
      </c>
      <c r="N2" s="3">
        <f>VLOOKUP(Table1[[#This Row],[Importance]],'Logic and Calculation'!$H$2:$J$12,2,FALSE)</f>
        <v>-18</v>
      </c>
      <c r="O2" s="32"/>
    </row>
    <row r="3" spans="1:15" ht="54.6" customHeight="1" x14ac:dyDescent="0.3">
      <c r="A3" s="29" t="s">
        <v>51</v>
      </c>
      <c r="B3" s="3" t="s">
        <v>54</v>
      </c>
      <c r="C3" s="30" t="s">
        <v>55</v>
      </c>
      <c r="D3" s="3" t="s">
        <v>17</v>
      </c>
      <c r="E3" s="30" t="s">
        <v>105</v>
      </c>
      <c r="F3" s="30" t="s">
        <v>106</v>
      </c>
      <c r="G3" s="30" t="s">
        <v>107</v>
      </c>
      <c r="H3" s="30" t="s">
        <v>108</v>
      </c>
      <c r="I3" s="30" t="s">
        <v>109</v>
      </c>
      <c r="J3" s="30"/>
      <c r="K3" s="30" t="s">
        <v>110</v>
      </c>
      <c r="L3" s="3" t="str">
        <f>VLOOKUP(Table1[[#This Row],[Importance]],'Logic and Calculation'!$H$2:$J$12,3,FALSE)</f>
        <v>High</v>
      </c>
      <c r="M3" s="31">
        <v>8</v>
      </c>
      <c r="N3" s="3">
        <f>VLOOKUP(Table1[[#This Row],[Importance]],'Logic and Calculation'!$H$2:$J$12,2,FALSE)</f>
        <v>-13</v>
      </c>
      <c r="O3" s="32"/>
    </row>
    <row r="4" spans="1:15" ht="54.6" customHeight="1" x14ac:dyDescent="0.3">
      <c r="A4" s="29" t="s">
        <v>51</v>
      </c>
      <c r="B4" s="3" t="s">
        <v>56</v>
      </c>
      <c r="C4" s="30" t="s">
        <v>57</v>
      </c>
      <c r="D4" s="3" t="s">
        <v>17</v>
      </c>
      <c r="E4" s="30" t="s">
        <v>111</v>
      </c>
      <c r="F4" s="30" t="s">
        <v>112</v>
      </c>
      <c r="G4" s="30" t="s">
        <v>113</v>
      </c>
      <c r="H4" s="30" t="s">
        <v>114</v>
      </c>
      <c r="I4" s="30" t="s">
        <v>115</v>
      </c>
      <c r="J4" s="30"/>
      <c r="K4" s="30" t="s">
        <v>116</v>
      </c>
      <c r="L4" s="3" t="str">
        <f>VLOOKUP(Table1[[#This Row],[Importance]],'Logic and Calculation'!$H$2:$J$12,3,FALSE)</f>
        <v>High</v>
      </c>
      <c r="M4" s="31">
        <v>8</v>
      </c>
      <c r="N4" s="3">
        <f>VLOOKUP(Table1[[#This Row],[Importance]],'Logic and Calculation'!$H$2:$J$12,2,FALSE)</f>
        <v>-13</v>
      </c>
      <c r="O4" s="32"/>
    </row>
    <row r="5" spans="1:15" ht="54.6" customHeight="1" x14ac:dyDescent="0.3">
      <c r="A5" s="29" t="s">
        <v>51</v>
      </c>
      <c r="B5" s="3" t="s">
        <v>58</v>
      </c>
      <c r="C5" s="30" t="s">
        <v>59</v>
      </c>
      <c r="D5" s="3" t="s">
        <v>17</v>
      </c>
      <c r="E5" s="30" t="s">
        <v>117</v>
      </c>
      <c r="F5" s="30" t="s">
        <v>118</v>
      </c>
      <c r="G5" s="30" t="s">
        <v>119</v>
      </c>
      <c r="H5" s="30" t="s">
        <v>120</v>
      </c>
      <c r="I5" s="30" t="s">
        <v>121</v>
      </c>
      <c r="J5" s="30"/>
      <c r="K5" s="30" t="s">
        <v>104</v>
      </c>
      <c r="L5" s="3" t="str">
        <f>VLOOKUP(Table1[[#This Row],[Importance]],'Logic and Calculation'!$H$2:$J$12,3,FALSE)</f>
        <v>High</v>
      </c>
      <c r="M5" s="31">
        <v>9</v>
      </c>
      <c r="N5" s="3">
        <f>VLOOKUP(Table1[[#This Row],[Importance]],'Logic and Calculation'!$H$2:$J$12,2,FALSE)</f>
        <v>-15</v>
      </c>
      <c r="O5" s="32"/>
    </row>
    <row r="6" spans="1:15" ht="54.6" customHeight="1" x14ac:dyDescent="0.3">
      <c r="A6" s="29" t="s">
        <v>51</v>
      </c>
      <c r="B6" s="3" t="s">
        <v>60</v>
      </c>
      <c r="C6" s="30" t="s">
        <v>61</v>
      </c>
      <c r="D6" s="3" t="s">
        <v>17</v>
      </c>
      <c r="E6" s="30" t="s">
        <v>122</v>
      </c>
      <c r="F6" s="30" t="s">
        <v>123</v>
      </c>
      <c r="G6" s="30" t="s">
        <v>124</v>
      </c>
      <c r="H6" s="30" t="s">
        <v>125</v>
      </c>
      <c r="I6" s="30" t="s">
        <v>126</v>
      </c>
      <c r="J6" s="30"/>
      <c r="K6" s="30" t="s">
        <v>127</v>
      </c>
      <c r="L6" s="3" t="str">
        <f>VLOOKUP(Table1[[#This Row],[Importance]],'Logic and Calculation'!$H$2:$J$12,3,FALSE)</f>
        <v>High</v>
      </c>
      <c r="M6" s="31">
        <v>8</v>
      </c>
      <c r="N6" s="3">
        <f>VLOOKUP(Table1[[#This Row],[Importance]],'Logic and Calculation'!$H$2:$J$12,2,FALSE)</f>
        <v>-13</v>
      </c>
      <c r="O6" s="32"/>
    </row>
    <row r="7" spans="1:15" ht="54.6" customHeight="1" x14ac:dyDescent="0.3">
      <c r="A7" s="29" t="s">
        <v>51</v>
      </c>
      <c r="B7" s="3" t="s">
        <v>62</v>
      </c>
      <c r="C7" s="30" t="s">
        <v>63</v>
      </c>
      <c r="D7" s="3" t="s">
        <v>17</v>
      </c>
      <c r="E7" s="30" t="s">
        <v>128</v>
      </c>
      <c r="F7" s="30" t="s">
        <v>129</v>
      </c>
      <c r="G7" s="30" t="s">
        <v>130</v>
      </c>
      <c r="H7" s="30" t="s">
        <v>131</v>
      </c>
      <c r="I7" s="30" t="s">
        <v>132</v>
      </c>
      <c r="J7" s="30"/>
      <c r="K7" s="30" t="s">
        <v>127</v>
      </c>
      <c r="L7" s="3" t="str">
        <f>VLOOKUP(Table1[[#This Row],[Importance]],'Logic and Calculation'!$H$2:$J$12,3,FALSE)</f>
        <v>Medium</v>
      </c>
      <c r="M7" s="31">
        <v>6</v>
      </c>
      <c r="N7" s="3">
        <f>VLOOKUP(Table1[[#This Row],[Importance]],'Logic and Calculation'!$H$2:$J$12,2,FALSE)</f>
        <v>-9</v>
      </c>
      <c r="O7" s="32"/>
    </row>
    <row r="8" spans="1:15" ht="54.6" customHeight="1" x14ac:dyDescent="0.3">
      <c r="A8" s="29" t="s">
        <v>64</v>
      </c>
      <c r="B8" s="3" t="s">
        <v>65</v>
      </c>
      <c r="C8" s="30" t="s">
        <v>66</v>
      </c>
      <c r="D8" s="3" t="s">
        <v>17</v>
      </c>
      <c r="E8" s="30" t="s">
        <v>133</v>
      </c>
      <c r="F8" s="30" t="s">
        <v>134</v>
      </c>
      <c r="G8" s="30" t="s">
        <v>135</v>
      </c>
      <c r="H8" s="30" t="s">
        <v>136</v>
      </c>
      <c r="I8" s="30" t="s">
        <v>137</v>
      </c>
      <c r="J8" s="30"/>
      <c r="K8" s="30" t="s">
        <v>127</v>
      </c>
      <c r="L8" s="3" t="str">
        <f>VLOOKUP(Table1[[#This Row],[Importance]],'Logic and Calculation'!$H$2:$J$12,3,FALSE)</f>
        <v>High</v>
      </c>
      <c r="M8" s="31">
        <v>9</v>
      </c>
      <c r="N8" s="3">
        <f>VLOOKUP(Table1[[#This Row],[Importance]],'Logic and Calculation'!$H$2:$J$12,2,FALSE)</f>
        <v>-15</v>
      </c>
      <c r="O8" s="32"/>
    </row>
    <row r="9" spans="1:15" ht="54.6" customHeight="1" x14ac:dyDescent="0.3">
      <c r="A9" s="33" t="s">
        <v>64</v>
      </c>
      <c r="B9" s="3" t="s">
        <v>67</v>
      </c>
      <c r="C9" s="24" t="s">
        <v>68</v>
      </c>
      <c r="D9" s="23" t="s">
        <v>17</v>
      </c>
      <c r="E9" s="24" t="s">
        <v>138</v>
      </c>
      <c r="F9" s="23" t="s">
        <v>139</v>
      </c>
      <c r="G9" s="23" t="s">
        <v>140</v>
      </c>
      <c r="H9" s="23" t="s">
        <v>141</v>
      </c>
      <c r="I9" s="23" t="s">
        <v>142</v>
      </c>
      <c r="J9" s="23"/>
      <c r="K9" s="23" t="s">
        <v>104</v>
      </c>
      <c r="L9" s="3" t="str">
        <f>VLOOKUP(Table1[[#This Row],[Importance]],'Logic and Calculation'!$H$2:$J$12,3,FALSE)</f>
        <v>Medium</v>
      </c>
      <c r="M9" s="31">
        <v>6</v>
      </c>
      <c r="N9" s="3">
        <f>VLOOKUP(Table1[[#This Row],[Importance]],'Logic and Calculation'!$H$2:$J$12,2,FALSE)</f>
        <v>-9</v>
      </c>
      <c r="O9" s="32"/>
    </row>
    <row r="10" spans="1:15" ht="54.6" customHeight="1" x14ac:dyDescent="0.3">
      <c r="A10" s="29" t="s">
        <v>64</v>
      </c>
      <c r="B10" s="3" t="s">
        <v>69</v>
      </c>
      <c r="C10" s="30" t="s">
        <v>70</v>
      </c>
      <c r="D10" s="23" t="s">
        <v>17</v>
      </c>
      <c r="E10" s="24" t="s">
        <v>143</v>
      </c>
      <c r="F10" s="23" t="s">
        <v>144</v>
      </c>
      <c r="G10" s="23" t="s">
        <v>145</v>
      </c>
      <c r="H10" s="23" t="s">
        <v>146</v>
      </c>
      <c r="I10" s="23" t="s">
        <v>147</v>
      </c>
      <c r="J10" s="23"/>
      <c r="K10" s="23" t="s">
        <v>148</v>
      </c>
      <c r="L10" s="3" t="str">
        <f>VLOOKUP(Table1[[#This Row],[Importance]],'Logic and Calculation'!$H$2:$J$12,3,FALSE)</f>
        <v>Medium</v>
      </c>
      <c r="M10" s="31">
        <v>5</v>
      </c>
      <c r="N10" s="3">
        <f>VLOOKUP(Table1[[#This Row],[Importance]],'Logic and Calculation'!$H$2:$J$12,2,FALSE)</f>
        <v>-7</v>
      </c>
      <c r="O10" s="32"/>
    </row>
    <row r="11" spans="1:15" ht="54.6" customHeight="1" x14ac:dyDescent="0.3">
      <c r="A11" s="33" t="s">
        <v>71</v>
      </c>
      <c r="B11" s="3" t="s">
        <v>72</v>
      </c>
      <c r="C11" s="24" t="s">
        <v>73</v>
      </c>
      <c r="D11" s="23" t="s">
        <v>17</v>
      </c>
      <c r="E11" s="24" t="s">
        <v>149</v>
      </c>
      <c r="F11" s="23" t="s">
        <v>150</v>
      </c>
      <c r="G11" s="23" t="s">
        <v>151</v>
      </c>
      <c r="H11" s="23" t="s">
        <v>152</v>
      </c>
      <c r="I11" s="23" t="s">
        <v>153</v>
      </c>
      <c r="J11" s="23"/>
      <c r="K11" s="23" t="s">
        <v>154</v>
      </c>
      <c r="L11" s="3" t="str">
        <f>VLOOKUP(Table1[[#This Row],[Importance]],'Logic and Calculation'!$H$2:$J$12,3,FALSE)</f>
        <v>Critical</v>
      </c>
      <c r="M11" s="31">
        <v>10</v>
      </c>
      <c r="N11" s="3">
        <f>VLOOKUP(Table1[[#This Row],[Importance]],'Logic and Calculation'!$H$2:$J$12,2,FALSE)</f>
        <v>-18</v>
      </c>
      <c r="O11" s="32"/>
    </row>
    <row r="12" spans="1:15" ht="54.6" customHeight="1" x14ac:dyDescent="0.3">
      <c r="A12" s="33" t="s">
        <v>71</v>
      </c>
      <c r="B12" s="3" t="s">
        <v>74</v>
      </c>
      <c r="C12" s="24" t="s">
        <v>75</v>
      </c>
      <c r="D12" s="23" t="s">
        <v>17</v>
      </c>
      <c r="E12" s="24" t="s">
        <v>155</v>
      </c>
      <c r="F12" s="23" t="s">
        <v>156</v>
      </c>
      <c r="G12" s="23" t="s">
        <v>157</v>
      </c>
      <c r="H12" s="23" t="s">
        <v>158</v>
      </c>
      <c r="I12" s="23" t="s">
        <v>159</v>
      </c>
      <c r="J12" s="23"/>
      <c r="K12" s="23" t="s">
        <v>154</v>
      </c>
      <c r="L12" s="3" t="str">
        <f>VLOOKUP(Table1[[#This Row],[Importance]],'Logic and Calculation'!$H$2:$J$12,3,FALSE)</f>
        <v>High</v>
      </c>
      <c r="M12" s="31">
        <v>8</v>
      </c>
      <c r="N12" s="3">
        <f>VLOOKUP(Table1[[#This Row],[Importance]],'Logic and Calculation'!$H$2:$J$12,2,FALSE)</f>
        <v>-13</v>
      </c>
      <c r="O12" s="32"/>
    </row>
    <row r="13" spans="1:15" ht="54.6" customHeight="1" x14ac:dyDescent="0.3">
      <c r="A13" s="33" t="s">
        <v>71</v>
      </c>
      <c r="B13" s="3" t="s">
        <v>76</v>
      </c>
      <c r="C13" s="24" t="s">
        <v>77</v>
      </c>
      <c r="D13" s="23" t="s">
        <v>17</v>
      </c>
      <c r="E13" s="24" t="s">
        <v>160</v>
      </c>
      <c r="F13" s="23" t="s">
        <v>161</v>
      </c>
      <c r="G13" s="23" t="s">
        <v>162</v>
      </c>
      <c r="H13" s="23" t="s">
        <v>163</v>
      </c>
      <c r="I13" s="23" t="s">
        <v>164</v>
      </c>
      <c r="J13" s="23"/>
      <c r="K13" s="23" t="s">
        <v>165</v>
      </c>
      <c r="L13" s="3" t="str">
        <f>VLOOKUP(Table1[[#This Row],[Importance]],'Logic and Calculation'!$H$2:$J$12,3,FALSE)</f>
        <v>Medium</v>
      </c>
      <c r="M13" s="31">
        <v>6</v>
      </c>
      <c r="N13" s="3">
        <f>VLOOKUP(Table1[[#This Row],[Importance]],'Logic and Calculation'!$H$2:$J$12,2,FALSE)</f>
        <v>-9</v>
      </c>
      <c r="O13" s="32"/>
    </row>
    <row r="14" spans="1:15" ht="54.6" customHeight="1" x14ac:dyDescent="0.3">
      <c r="A14" s="33" t="s">
        <v>71</v>
      </c>
      <c r="B14" s="3" t="s">
        <v>78</v>
      </c>
      <c r="C14" s="24" t="s">
        <v>79</v>
      </c>
      <c r="D14" s="23" t="s">
        <v>17</v>
      </c>
      <c r="E14" s="24" t="s">
        <v>166</v>
      </c>
      <c r="F14" s="23" t="s">
        <v>167</v>
      </c>
      <c r="G14" s="23" t="s">
        <v>168</v>
      </c>
      <c r="H14" s="23" t="s">
        <v>169</v>
      </c>
      <c r="I14" s="23" t="s">
        <v>170</v>
      </c>
      <c r="J14" s="23"/>
      <c r="K14" s="23" t="s">
        <v>171</v>
      </c>
      <c r="L14" s="3" t="str">
        <f>VLOOKUP(Table1[[#This Row],[Importance]],'Logic and Calculation'!$H$2:$J$12,3,FALSE)</f>
        <v>High</v>
      </c>
      <c r="M14" s="31">
        <v>9</v>
      </c>
      <c r="N14" s="3">
        <f>VLOOKUP(Table1[[#This Row],[Importance]],'Logic and Calculation'!$H$2:$J$12,2,FALSE)</f>
        <v>-15</v>
      </c>
      <c r="O14" s="32"/>
    </row>
    <row r="15" spans="1:15" ht="54.6" customHeight="1" x14ac:dyDescent="0.3">
      <c r="A15" s="33" t="s">
        <v>80</v>
      </c>
      <c r="B15" s="3" t="s">
        <v>81</v>
      </c>
      <c r="C15" s="24" t="s">
        <v>82</v>
      </c>
      <c r="D15" s="23" t="s">
        <v>17</v>
      </c>
      <c r="E15" s="24" t="s">
        <v>172</v>
      </c>
      <c r="F15" s="23" t="s">
        <v>173</v>
      </c>
      <c r="G15" s="23" t="s">
        <v>174</v>
      </c>
      <c r="H15" s="23" t="s">
        <v>175</v>
      </c>
      <c r="I15" s="23" t="s">
        <v>176</v>
      </c>
      <c r="J15" s="23"/>
      <c r="K15" s="23" t="s">
        <v>177</v>
      </c>
      <c r="L15" s="3" t="str">
        <f>VLOOKUP(Table1[[#This Row],[Importance]],'Logic and Calculation'!$H$2:$J$12,3,FALSE)</f>
        <v>High</v>
      </c>
      <c r="M15" s="31">
        <v>8</v>
      </c>
      <c r="N15" s="3">
        <f>VLOOKUP(Table1[[#This Row],[Importance]],'Logic and Calculation'!$H$2:$J$12,2,FALSE)</f>
        <v>-13</v>
      </c>
      <c r="O15" s="32"/>
    </row>
    <row r="16" spans="1:15" ht="54.6" customHeight="1" x14ac:dyDescent="0.3">
      <c r="A16" s="33" t="s">
        <v>80</v>
      </c>
      <c r="B16" s="3" t="s">
        <v>83</v>
      </c>
      <c r="C16" s="24" t="s">
        <v>84</v>
      </c>
      <c r="D16" s="23" t="s">
        <v>17</v>
      </c>
      <c r="E16" s="24" t="s">
        <v>178</v>
      </c>
      <c r="F16" s="23" t="s">
        <v>179</v>
      </c>
      <c r="G16" s="23" t="s">
        <v>180</v>
      </c>
      <c r="H16" s="23" t="s">
        <v>181</v>
      </c>
      <c r="I16" s="23" t="s">
        <v>182</v>
      </c>
      <c r="J16" s="23"/>
      <c r="K16" s="23" t="s">
        <v>183</v>
      </c>
      <c r="L16" s="3" t="str">
        <f>VLOOKUP(Table1[[#This Row],[Importance]],'Logic and Calculation'!$H$2:$J$12,3,FALSE)</f>
        <v>Medium</v>
      </c>
      <c r="M16" s="31">
        <v>6</v>
      </c>
      <c r="N16" s="3">
        <f>VLOOKUP(Table1[[#This Row],[Importance]],'Logic and Calculation'!$H$2:$J$12,2,FALSE)</f>
        <v>-9</v>
      </c>
      <c r="O16" s="32"/>
    </row>
    <row r="17" spans="1:15" ht="54.6" customHeight="1" x14ac:dyDescent="0.3">
      <c r="A17" s="33" t="s">
        <v>80</v>
      </c>
      <c r="B17" s="3" t="s">
        <v>85</v>
      </c>
      <c r="C17" s="24" t="s">
        <v>86</v>
      </c>
      <c r="D17" s="23" t="s">
        <v>17</v>
      </c>
      <c r="E17" s="24" t="s">
        <v>184</v>
      </c>
      <c r="F17" s="23" t="s">
        <v>185</v>
      </c>
      <c r="G17" s="23" t="s">
        <v>186</v>
      </c>
      <c r="H17" s="23" t="s">
        <v>187</v>
      </c>
      <c r="I17" s="23" t="s">
        <v>188</v>
      </c>
      <c r="J17" s="23"/>
      <c r="K17" s="23" t="s">
        <v>189</v>
      </c>
      <c r="L17" s="3" t="str">
        <f>VLOOKUP(Table1[[#This Row],[Importance]],'Logic and Calculation'!$H$2:$J$12,3,FALSE)</f>
        <v>Medium</v>
      </c>
      <c r="M17" s="31">
        <v>6</v>
      </c>
      <c r="N17" s="3">
        <f>VLOOKUP(Table1[[#This Row],[Importance]],'Logic and Calculation'!$H$2:$J$12,2,FALSE)</f>
        <v>-9</v>
      </c>
      <c r="O17" s="32"/>
    </row>
    <row r="18" spans="1:15" ht="54.6" customHeight="1" x14ac:dyDescent="0.3">
      <c r="A18" s="33" t="s">
        <v>87</v>
      </c>
      <c r="B18" s="3" t="s">
        <v>88</v>
      </c>
      <c r="C18" s="24" t="s">
        <v>89</v>
      </c>
      <c r="D18" s="23" t="s">
        <v>17</v>
      </c>
      <c r="E18" s="24" t="s">
        <v>190</v>
      </c>
      <c r="F18" s="23" t="s">
        <v>191</v>
      </c>
      <c r="G18" s="23" t="s">
        <v>192</v>
      </c>
      <c r="H18" s="23" t="s">
        <v>193</v>
      </c>
      <c r="I18" s="23" t="s">
        <v>194</v>
      </c>
      <c r="J18" s="23"/>
      <c r="K18" s="23" t="s">
        <v>195</v>
      </c>
      <c r="L18" s="3" t="str">
        <f>VLOOKUP(Table1[[#This Row],[Importance]],'Logic and Calculation'!$H$2:$J$12,3,FALSE)</f>
        <v>High</v>
      </c>
      <c r="M18" s="31">
        <v>9</v>
      </c>
      <c r="N18" s="3">
        <f>VLOOKUP(Table1[[#This Row],[Importance]],'Logic and Calculation'!$H$2:$J$12,2,FALSE)</f>
        <v>-15</v>
      </c>
      <c r="O18" s="32"/>
    </row>
    <row r="19" spans="1:15" ht="54.6" customHeight="1" x14ac:dyDescent="0.3">
      <c r="A19" s="33" t="s">
        <v>87</v>
      </c>
      <c r="B19" s="3" t="s">
        <v>90</v>
      </c>
      <c r="C19" s="24" t="s">
        <v>91</v>
      </c>
      <c r="D19" s="23" t="s">
        <v>17</v>
      </c>
      <c r="E19" s="24" t="s">
        <v>196</v>
      </c>
      <c r="F19" s="23" t="s">
        <v>197</v>
      </c>
      <c r="G19" s="23" t="s">
        <v>198</v>
      </c>
      <c r="H19" s="23" t="s">
        <v>199</v>
      </c>
      <c r="I19" s="23" t="s">
        <v>200</v>
      </c>
      <c r="J19" s="23"/>
      <c r="K19" s="23" t="s">
        <v>201</v>
      </c>
      <c r="L19" s="3" t="str">
        <f>VLOOKUP(Table1[[#This Row],[Importance]],'Logic and Calculation'!$H$2:$J$12,3,FALSE)</f>
        <v>High</v>
      </c>
      <c r="M19" s="31">
        <v>8</v>
      </c>
      <c r="N19" s="3">
        <f>VLOOKUP(Table1[[#This Row],[Importance]],'Logic and Calculation'!$H$2:$J$12,2,FALSE)</f>
        <v>-13</v>
      </c>
      <c r="O19" s="32"/>
    </row>
    <row r="20" spans="1:15" ht="54.6" customHeight="1" x14ac:dyDescent="0.3">
      <c r="A20" s="33" t="s">
        <v>92</v>
      </c>
      <c r="B20" s="3" t="s">
        <v>93</v>
      </c>
      <c r="C20" s="24" t="s">
        <v>94</v>
      </c>
      <c r="D20" s="23" t="s">
        <v>17</v>
      </c>
      <c r="E20" s="24" t="s">
        <v>202</v>
      </c>
      <c r="F20" s="23" t="s">
        <v>203</v>
      </c>
      <c r="G20" s="23" t="s">
        <v>204</v>
      </c>
      <c r="H20" s="23" t="s">
        <v>205</v>
      </c>
      <c r="I20" s="23" t="s">
        <v>206</v>
      </c>
      <c r="J20" s="23"/>
      <c r="K20" s="23" t="s">
        <v>195</v>
      </c>
      <c r="L20" s="3" t="str">
        <f>VLOOKUP(Table1[[#This Row],[Importance]],'Logic and Calculation'!$H$2:$J$12,3,FALSE)</f>
        <v>Medium</v>
      </c>
      <c r="M20" s="31">
        <v>5</v>
      </c>
      <c r="N20" s="3">
        <f>VLOOKUP(Table1[[#This Row],[Importance]],'Logic and Calculation'!$H$2:$J$12,2,FALSE)</f>
        <v>-7</v>
      </c>
      <c r="O20" s="32"/>
    </row>
    <row r="21" spans="1:15" ht="54.6" customHeight="1" x14ac:dyDescent="0.3">
      <c r="A21" s="33" t="s">
        <v>92</v>
      </c>
      <c r="B21" s="3" t="s">
        <v>95</v>
      </c>
      <c r="C21" s="24" t="s">
        <v>96</v>
      </c>
      <c r="D21" s="23" t="s">
        <v>17</v>
      </c>
      <c r="E21" s="24" t="s">
        <v>207</v>
      </c>
      <c r="F21" s="23" t="s">
        <v>208</v>
      </c>
      <c r="G21" s="23" t="s">
        <v>209</v>
      </c>
      <c r="H21" s="23" t="s">
        <v>210</v>
      </c>
      <c r="I21" s="23" t="s">
        <v>211</v>
      </c>
      <c r="J21" s="23"/>
      <c r="K21" s="23" t="s">
        <v>104</v>
      </c>
      <c r="L21" s="3" t="str">
        <f>VLOOKUP(Table1[[#This Row],[Importance]],'Logic and Calculation'!$H$2:$J$12,3,FALSE)</f>
        <v>Medium</v>
      </c>
      <c r="M21" s="31">
        <v>6</v>
      </c>
      <c r="N21" s="3">
        <f>VLOOKUP(Table1[[#This Row],[Importance]],'Logic and Calculation'!$H$2:$J$12,2,FALSE)</f>
        <v>-9</v>
      </c>
      <c r="O21" s="32"/>
    </row>
    <row r="22" spans="1:15" ht="54.6" customHeight="1" x14ac:dyDescent="0.3">
      <c r="A22" s="33" t="s">
        <v>92</v>
      </c>
      <c r="B22" s="3" t="s">
        <v>97</v>
      </c>
      <c r="C22" s="24" t="s">
        <v>98</v>
      </c>
      <c r="D22" s="23" t="s">
        <v>17</v>
      </c>
      <c r="E22" s="24" t="s">
        <v>212</v>
      </c>
      <c r="F22" s="23" t="s">
        <v>213</v>
      </c>
      <c r="G22" s="23" t="s">
        <v>214</v>
      </c>
      <c r="H22" s="23" t="s">
        <v>215</v>
      </c>
      <c r="I22" s="23" t="s">
        <v>216</v>
      </c>
      <c r="J22" s="23"/>
      <c r="K22" s="23" t="s">
        <v>217</v>
      </c>
      <c r="L22" s="3" t="str">
        <f>VLOOKUP(Table1[[#This Row],[Importance]],'Logic and Calculation'!$H$2:$J$12,3,FALSE)</f>
        <v>Medium</v>
      </c>
      <c r="M22" s="31">
        <v>7</v>
      </c>
      <c r="N22" s="3">
        <f>VLOOKUP(Table1[[#This Row],[Importance]],'Logic and Calculation'!$H$2:$J$12,2,FALSE)</f>
        <v>-11</v>
      </c>
      <c r="O22" s="32"/>
    </row>
  </sheetData>
  <phoneticPr fontId="14" type="noConversion"/>
  <conditionalFormatting sqref="D2:D22">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disablePrompts="1" count="1">
    <dataValidation type="list" allowBlank="1" sqref="D2:D22" xr:uid="{14F2E4EA-232A-4A9D-81DF-0ED8245404A6}">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8"/>
  <sheetViews>
    <sheetView workbookViewId="0">
      <pane ySplit="7" topLeftCell="A8" activePane="bottomLeft" state="frozen"/>
      <selection pane="bottomLeft" activeCell="A8" sqref="A8"/>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1" t="s">
        <v>50</v>
      </c>
      <c r="M2" s="11" t="s">
        <v>24</v>
      </c>
    </row>
    <row r="3" spans="1:13" x14ac:dyDescent="0.3">
      <c r="A3" t="s">
        <v>25</v>
      </c>
      <c r="B3">
        <f>SUM(F8:F949)</f>
        <v>0</v>
      </c>
      <c r="D3" t="s">
        <v>45</v>
      </c>
      <c r="H3">
        <v>10</v>
      </c>
      <c r="I3">
        <v>-18</v>
      </c>
      <c r="J3" t="s">
        <v>26</v>
      </c>
      <c r="L3" t="s">
        <v>48</v>
      </c>
      <c r="M3" t="s">
        <v>42</v>
      </c>
    </row>
    <row r="4" spans="1:13" x14ac:dyDescent="0.3">
      <c r="A4" t="s">
        <v>27</v>
      </c>
      <c r="B4">
        <f>B2+B3</f>
        <v>100</v>
      </c>
      <c r="D4" t="s">
        <v>39</v>
      </c>
      <c r="H4">
        <v>9</v>
      </c>
      <c r="I4">
        <v>-15</v>
      </c>
      <c r="J4" t="s">
        <v>28</v>
      </c>
      <c r="L4" t="s">
        <v>38</v>
      </c>
      <c r="M4" t="s">
        <v>43</v>
      </c>
    </row>
    <row r="5" spans="1:13" x14ac:dyDescent="0.3">
      <c r="A5" t="s">
        <v>50</v>
      </c>
      <c r="B5" t="str">
        <f>IF(B4&gt;=75,"Compliant ",IF(AND(B4&lt;=74,B4&gt;=40),"Needs Attention","Not Compliant"))</f>
        <v xml:space="preserve">Compliant </v>
      </c>
      <c r="D5" t="s">
        <v>46</v>
      </c>
      <c r="H5">
        <v>8</v>
      </c>
      <c r="I5">
        <v>-13</v>
      </c>
      <c r="J5" t="s">
        <v>28</v>
      </c>
      <c r="L5" t="s">
        <v>44</v>
      </c>
      <c r="M5" t="s">
        <v>47</v>
      </c>
    </row>
    <row r="6" spans="1:13" x14ac:dyDescent="0.3">
      <c r="A6" t="s">
        <v>29</v>
      </c>
      <c r="B6" t="s">
        <v>30</v>
      </c>
      <c r="H6">
        <v>7</v>
      </c>
      <c r="I6">
        <v>-11</v>
      </c>
      <c r="J6" t="s">
        <v>18</v>
      </c>
    </row>
    <row r="7" spans="1:13" x14ac:dyDescent="0.3">
      <c r="H7">
        <v>6</v>
      </c>
      <c r="I7">
        <v>-9</v>
      </c>
      <c r="J7" t="s">
        <v>18</v>
      </c>
    </row>
    <row r="8" spans="1:13" x14ac:dyDescent="0.3">
      <c r="A8" t="str">
        <f>'Account Strategy_Reference'!B2</f>
        <v>S001</v>
      </c>
      <c r="B8" t="str">
        <f>'Account Strategy_Reference'!A2</f>
        <v>Shopping &amp; PMAX Strategies</v>
      </c>
      <c r="C8" t="str">
        <f>'Account Strategy_Reference'!C2</f>
        <v>Catchall / Everything Else Campaign</v>
      </c>
      <c r="D8" t="str">
        <f>'Account Strategy_Reference'!D2</f>
        <v>OK</v>
      </c>
      <c r="E8">
        <f>'Account Strategy_Reference'!N2</f>
        <v>-18</v>
      </c>
      <c r="F8">
        <f t="shared" ref="F8" si="0">IF(D8="FLAG",E8,IF(D8="PARTIAL",E8*0.5,0))</f>
        <v>0</v>
      </c>
      <c r="H8">
        <v>5</v>
      </c>
      <c r="I8">
        <v>-7</v>
      </c>
      <c r="J8" t="s">
        <v>18</v>
      </c>
    </row>
    <row r="9" spans="1:13" x14ac:dyDescent="0.3">
      <c r="A9" t="str">
        <f>'Account Strategy_Reference'!B3</f>
        <v>S002</v>
      </c>
      <c r="B9" t="str">
        <f>'Account Strategy_Reference'!A3</f>
        <v>Shopping &amp; PMAX Strategies</v>
      </c>
      <c r="C9" t="str">
        <f>'Account Strategy_Reference'!C3</f>
        <v>Top Products Campaign</v>
      </c>
      <c r="D9" t="str">
        <f>'Account Strategy_Reference'!D3</f>
        <v>OK</v>
      </c>
      <c r="E9">
        <f>'Account Strategy_Reference'!N3</f>
        <v>-13</v>
      </c>
      <c r="F9">
        <f t="shared" ref="F9:F19" si="1">IF(D9="FLAG",E9,IF(D9="PARTIAL",E9*0.5,0))</f>
        <v>0</v>
      </c>
      <c r="H9">
        <v>4</v>
      </c>
      <c r="I9">
        <v>-5</v>
      </c>
      <c r="J9" t="s">
        <v>31</v>
      </c>
    </row>
    <row r="10" spans="1:13" x14ac:dyDescent="0.3">
      <c r="A10" t="str">
        <f>'Account Strategy_Reference'!B4</f>
        <v>S003</v>
      </c>
      <c r="B10" t="str">
        <f>'Account Strategy_Reference'!A4</f>
        <v>Shopping &amp; PMAX Strategies</v>
      </c>
      <c r="C10" t="str">
        <f>'Account Strategy_Reference'!C4</f>
        <v>Price Tier / Margin Campaign</v>
      </c>
      <c r="D10" t="str">
        <f>'Account Strategy_Reference'!D4</f>
        <v>OK</v>
      </c>
      <c r="E10">
        <f>'Account Strategy_Reference'!N4</f>
        <v>-13</v>
      </c>
      <c r="F10">
        <f t="shared" si="1"/>
        <v>0</v>
      </c>
      <c r="H10">
        <v>3</v>
      </c>
      <c r="I10">
        <v>-3</v>
      </c>
      <c r="J10" t="s">
        <v>31</v>
      </c>
    </row>
    <row r="11" spans="1:13" x14ac:dyDescent="0.3">
      <c r="A11" t="str">
        <f>'Account Strategy_Reference'!B5</f>
        <v>S004</v>
      </c>
      <c r="B11" t="str">
        <f>'Account Strategy_Reference'!A5</f>
        <v>Shopping &amp; PMAX Strategies</v>
      </c>
      <c r="C11" t="str">
        <f>'Account Strategy_Reference'!C5</f>
        <v>Brand Campaign (Shopping/PMAX)</v>
      </c>
      <c r="D11" t="str">
        <f>'Account Strategy_Reference'!D5</f>
        <v>OK</v>
      </c>
      <c r="E11">
        <f>'Account Strategy_Reference'!N5</f>
        <v>-15</v>
      </c>
      <c r="F11">
        <f t="shared" si="1"/>
        <v>0</v>
      </c>
      <c r="H11">
        <v>2</v>
      </c>
      <c r="I11">
        <v>-2</v>
      </c>
      <c r="J11" t="s">
        <v>32</v>
      </c>
    </row>
    <row r="12" spans="1:13" x14ac:dyDescent="0.3">
      <c r="A12" t="str">
        <f>'Account Strategy_Reference'!B6</f>
        <v>S005</v>
      </c>
      <c r="B12" t="str">
        <f>'Account Strategy_Reference'!A6</f>
        <v>Shopping &amp; PMAX Strategies</v>
      </c>
      <c r="C12" t="str">
        <f>'Account Strategy_Reference'!C6</f>
        <v>Shopping Suppression Campaign Active</v>
      </c>
      <c r="D12" t="str">
        <f>'Account Strategy_Reference'!D6</f>
        <v>OK</v>
      </c>
      <c r="E12">
        <f>'Account Strategy_Reference'!N6</f>
        <v>-13</v>
      </c>
      <c r="F12">
        <f t="shared" si="1"/>
        <v>0</v>
      </c>
      <c r="H12">
        <v>1</v>
      </c>
      <c r="I12">
        <v>0</v>
      </c>
      <c r="J12" t="s">
        <v>32</v>
      </c>
    </row>
    <row r="13" spans="1:13" x14ac:dyDescent="0.3">
      <c r="A13" t="str">
        <f>'Account Strategy_Reference'!B7</f>
        <v>S006</v>
      </c>
      <c r="B13" t="str">
        <f>'Account Strategy_Reference'!A7</f>
        <v>Shopping &amp; PMAX Strategies</v>
      </c>
      <c r="C13" t="str">
        <f>'Account Strategy_Reference'!C7</f>
        <v>Product Type Campaigns</v>
      </c>
      <c r="D13" t="str">
        <f>'Account Strategy_Reference'!D7</f>
        <v>OK</v>
      </c>
      <c r="E13">
        <f>'Account Strategy_Reference'!N7</f>
        <v>-9</v>
      </c>
      <c r="F13">
        <f t="shared" si="1"/>
        <v>0</v>
      </c>
    </row>
    <row r="14" spans="1:13" x14ac:dyDescent="0.3">
      <c r="A14" t="str">
        <f>'Account Strategy_Reference'!B8</f>
        <v>S007</v>
      </c>
      <c r="B14" t="str">
        <f>'Account Strategy_Reference'!A8</f>
        <v>CWCD Structure</v>
      </c>
      <c r="C14" t="str">
        <f>'Account Strategy_Reference'!C8</f>
        <v>Zombie Campaign Active</v>
      </c>
      <c r="D14" t="str">
        <f>'Account Strategy_Reference'!D8</f>
        <v>OK</v>
      </c>
      <c r="E14">
        <f>'Account Strategy_Reference'!N8</f>
        <v>-15</v>
      </c>
      <c r="F14">
        <f t="shared" si="1"/>
        <v>0</v>
      </c>
    </row>
    <row r="15" spans="1:13" x14ac:dyDescent="0.3">
      <c r="A15" t="str">
        <f>'Account Strategy_Reference'!B9</f>
        <v>S008</v>
      </c>
      <c r="B15" t="str">
        <f>'Account Strategy_Reference'!A9</f>
        <v>CWCD Structure</v>
      </c>
      <c r="C15" t="str">
        <f>'Account Strategy_Reference'!C9</f>
        <v>Remnant Campaign Active</v>
      </c>
      <c r="D15" t="str">
        <f>'Account Strategy_Reference'!D9</f>
        <v>OK</v>
      </c>
      <c r="E15">
        <f>'Account Strategy_Reference'!N9</f>
        <v>-9</v>
      </c>
      <c r="F15">
        <f t="shared" si="1"/>
        <v>0</v>
      </c>
    </row>
    <row r="16" spans="1:13" x14ac:dyDescent="0.3">
      <c r="A16" t="str">
        <f>'Account Strategy_Reference'!B10</f>
        <v>S009</v>
      </c>
      <c r="B16" t="str">
        <f>'Account Strategy_Reference'!A10</f>
        <v>CWCD Structure</v>
      </c>
      <c r="C16" t="str">
        <f>'Account Strategy_Reference'!C10</f>
        <v>Query-Based Campaign Active</v>
      </c>
      <c r="D16" t="str">
        <f>'Account Strategy_Reference'!D10</f>
        <v>OK</v>
      </c>
      <c r="E16">
        <f>'Account Strategy_Reference'!N10</f>
        <v>-7</v>
      </c>
      <c r="F16">
        <f t="shared" si="1"/>
        <v>0</v>
      </c>
    </row>
    <row r="17" spans="1:6" x14ac:dyDescent="0.3">
      <c r="A17" t="str">
        <f>'Account Strategy_Reference'!B11</f>
        <v>S010</v>
      </c>
      <c r="B17" t="str">
        <f>'Account Strategy_Reference'!A11</f>
        <v>Paid Search Strategies</v>
      </c>
      <c r="C17" t="str">
        <f>'Account Strategy_Reference'!C11</f>
        <v>Branded Search Campaign (TM Exact/SKW)</v>
      </c>
      <c r="D17" t="str">
        <f>'Account Strategy_Reference'!D11</f>
        <v>OK</v>
      </c>
      <c r="E17">
        <f>'Account Strategy_Reference'!N11</f>
        <v>-18</v>
      </c>
      <c r="F17">
        <f t="shared" si="1"/>
        <v>0</v>
      </c>
    </row>
    <row r="18" spans="1:6" x14ac:dyDescent="0.3">
      <c r="A18" t="str">
        <f>'Account Strategy_Reference'!B12</f>
        <v>S011</v>
      </c>
      <c r="B18" t="str">
        <f>'Account Strategy_Reference'!A12</f>
        <v>Paid Search Strategies</v>
      </c>
      <c r="C18" t="str">
        <f>'Account Strategy_Reference'!C12</f>
        <v>Non-Brand (NB) Search Campaign</v>
      </c>
      <c r="D18" t="str">
        <f>'Account Strategy_Reference'!D12</f>
        <v>OK</v>
      </c>
      <c r="E18">
        <f>'Account Strategy_Reference'!N12</f>
        <v>-13</v>
      </c>
      <c r="F18">
        <f t="shared" si="1"/>
        <v>0</v>
      </c>
    </row>
    <row r="19" spans="1:6" x14ac:dyDescent="0.3">
      <c r="A19" t="str">
        <f>'Account Strategy_Reference'!B13</f>
        <v>S012</v>
      </c>
      <c r="B19" t="str">
        <f>'Account Strategy_Reference'!A13</f>
        <v>Paid Search Strategies</v>
      </c>
      <c r="C19" t="str">
        <f>'Account Strategy_Reference'!C13</f>
        <v>DSA / NB DSA Campaign</v>
      </c>
      <c r="D19" t="str">
        <f>'Account Strategy_Reference'!D13</f>
        <v>OK</v>
      </c>
      <c r="E19">
        <f>'Account Strategy_Reference'!N13</f>
        <v>-9</v>
      </c>
      <c r="F19">
        <f t="shared" si="1"/>
        <v>0</v>
      </c>
    </row>
    <row r="20" spans="1:6" x14ac:dyDescent="0.3">
      <c r="A20" t="str">
        <f>'Account Strategy_Reference'!B14</f>
        <v>S013</v>
      </c>
      <c r="B20" t="str">
        <f>'Account Strategy_Reference'!A14</f>
        <v>Paid Search Strategies</v>
      </c>
      <c r="C20" t="str">
        <f>'Account Strategy_Reference'!C14</f>
        <v>Match Type Strategy (Exact / Broad)</v>
      </c>
      <c r="D20" t="str">
        <f>'Account Strategy_Reference'!D14</f>
        <v>OK</v>
      </c>
      <c r="E20">
        <f>'Account Strategy_Reference'!N14</f>
        <v>-15</v>
      </c>
      <c r="F20">
        <f t="shared" ref="F20:F21" si="2">IF(D20="FLAG",E20,IF(D20="PARTIAL",E20*0.5,0))</f>
        <v>0</v>
      </c>
    </row>
    <row r="21" spans="1:6" x14ac:dyDescent="0.3">
      <c r="A21" t="str">
        <f>'Account Strategy_Reference'!B15</f>
        <v>S014</v>
      </c>
      <c r="B21" t="str">
        <f>'Account Strategy_Reference'!A15</f>
        <v>Bid Adjustments &amp; Audience</v>
      </c>
      <c r="C21" t="str">
        <f>'Account Strategy_Reference'!C15</f>
        <v>Device Bid Adjustments Applied</v>
      </c>
      <c r="D21" t="str">
        <f>'Account Strategy_Reference'!D15</f>
        <v>OK</v>
      </c>
      <c r="E21">
        <f>'Account Strategy_Reference'!N15</f>
        <v>-13</v>
      </c>
      <c r="F21">
        <f t="shared" si="2"/>
        <v>0</v>
      </c>
    </row>
    <row r="22" spans="1:6" x14ac:dyDescent="0.3">
      <c r="A22" t="str">
        <f>'Account Strategy_Reference'!B16</f>
        <v>S015</v>
      </c>
      <c r="B22" t="str">
        <f>'Account Strategy_Reference'!A16</f>
        <v>Bid Adjustments &amp; Audience</v>
      </c>
      <c r="C22" t="str">
        <f>'Account Strategy_Reference'!C16</f>
        <v>Demographic Segmentation (Age / Gender)</v>
      </c>
      <c r="D22" t="str">
        <f>'Account Strategy_Reference'!D16</f>
        <v>OK</v>
      </c>
      <c r="E22">
        <f>'Account Strategy_Reference'!N16</f>
        <v>-9</v>
      </c>
      <c r="F22">
        <f t="shared" ref="F22:F28" si="3">IF(D22="FLAG",E22,IF(D22="PARTIAL",E22*0.5,0))</f>
        <v>0</v>
      </c>
    </row>
    <row r="23" spans="1:6" x14ac:dyDescent="0.3">
      <c r="A23" t="str">
        <f>'Account Strategy_Reference'!B17</f>
        <v>S016</v>
      </c>
      <c r="B23" t="str">
        <f>'Account Strategy_Reference'!A17</f>
        <v>Bid Adjustments &amp; Audience</v>
      </c>
      <c r="C23" t="str">
        <f>'Account Strategy_Reference'!C17</f>
        <v>Location Bid Adjustments Applied</v>
      </c>
      <c r="D23" t="str">
        <f>'Account Strategy_Reference'!D17</f>
        <v>OK</v>
      </c>
      <c r="E23">
        <f>'Account Strategy_Reference'!N17</f>
        <v>-9</v>
      </c>
      <c r="F23">
        <f t="shared" si="3"/>
        <v>0</v>
      </c>
    </row>
    <row r="24" spans="1:6" x14ac:dyDescent="0.3">
      <c r="A24" t="str">
        <f>'Account Strategy_Reference'!B18</f>
        <v>S017</v>
      </c>
      <c r="B24" t="str">
        <f>'Account Strategy_Reference'!A18</f>
        <v>Budget Allocation</v>
      </c>
      <c r="C24" t="str">
        <f>'Account Strategy_Reference'!C18</f>
        <v>Campaign Budget Allocation Optimized</v>
      </c>
      <c r="D24" t="str">
        <f>'Account Strategy_Reference'!D18</f>
        <v>OK</v>
      </c>
      <c r="E24">
        <f>'Account Strategy_Reference'!N18</f>
        <v>-15</v>
      </c>
      <c r="F24">
        <f t="shared" si="3"/>
        <v>0</v>
      </c>
    </row>
    <row r="25" spans="1:6" x14ac:dyDescent="0.3">
      <c r="A25" t="str">
        <f>'Account Strategy_Reference'!B19</f>
        <v>S018</v>
      </c>
      <c r="B25" t="str">
        <f>'Account Strategy_Reference'!A19</f>
        <v>Budget Allocation</v>
      </c>
      <c r="C25" t="str">
        <f>'Account Strategy_Reference'!C19</f>
        <v>PMAX vs Search vs Shopping Spend Balance</v>
      </c>
      <c r="D25" t="str">
        <f>'Account Strategy_Reference'!D19</f>
        <v>OK</v>
      </c>
      <c r="E25">
        <f>'Account Strategy_Reference'!N19</f>
        <v>-13</v>
      </c>
      <c r="F25">
        <f t="shared" si="3"/>
        <v>0</v>
      </c>
    </row>
    <row r="26" spans="1:6" x14ac:dyDescent="0.3">
      <c r="A26" t="str">
        <f>'Account Strategy_Reference'!B20</f>
        <v>S019</v>
      </c>
      <c r="B26" t="str">
        <f>'Account Strategy_Reference'!A20</f>
        <v>Demand Gen &amp; Display</v>
      </c>
      <c r="C26" t="str">
        <f>'Account Strategy_Reference'!C20</f>
        <v>Demand Gen Prospecting Campaign</v>
      </c>
      <c r="D26" t="str">
        <f>'Account Strategy_Reference'!D20</f>
        <v>OK</v>
      </c>
      <c r="E26">
        <f>'Account Strategy_Reference'!N20</f>
        <v>-7</v>
      </c>
      <c r="F26">
        <f t="shared" si="3"/>
        <v>0</v>
      </c>
    </row>
    <row r="27" spans="1:6" x14ac:dyDescent="0.3">
      <c r="A27" t="str">
        <f>'Account Strategy_Reference'!B21</f>
        <v>S020</v>
      </c>
      <c r="B27" t="str">
        <f>'Account Strategy_Reference'!A21</f>
        <v>Demand Gen &amp; Display</v>
      </c>
      <c r="C27" t="str">
        <f>'Account Strategy_Reference'!C21</f>
        <v>Demand Gen Remarketing Campaign</v>
      </c>
      <c r="D27" t="str">
        <f>'Account Strategy_Reference'!D21</f>
        <v>OK</v>
      </c>
      <c r="E27">
        <f>'Account Strategy_Reference'!N21</f>
        <v>-9</v>
      </c>
      <c r="F27">
        <f t="shared" si="3"/>
        <v>0</v>
      </c>
    </row>
    <row r="28" spans="1:6" x14ac:dyDescent="0.3">
      <c r="A28" t="str">
        <f>'Account Strategy_Reference'!B22</f>
        <v>S021</v>
      </c>
      <c r="B28" t="str">
        <f>'Account Strategy_Reference'!A22</f>
        <v>Demand Gen &amp; Display</v>
      </c>
      <c r="C28" t="str">
        <f>'Account Strategy_Reference'!C22</f>
        <v>Optimized Targeting Disabled (Display/DG)</v>
      </c>
      <c r="D28" t="str">
        <f>'Account Strategy_Reference'!D22</f>
        <v>OK</v>
      </c>
      <c r="E28">
        <f>'Account Strategy_Reference'!N22</f>
        <v>-11</v>
      </c>
      <c r="F28">
        <f t="shared" si="3"/>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Strategy_Analysis</vt:lpstr>
      <vt:lpstr>Account Strategy_Reference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2026-05-21T18:58:48Z</dcterms:modified>
</cp:coreProperties>
</file>