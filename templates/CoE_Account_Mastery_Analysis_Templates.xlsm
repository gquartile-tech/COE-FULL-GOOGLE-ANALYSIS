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GOOGLE-ANALYSIS-main/templates/"/>
    </mc:Choice>
  </mc:AlternateContent>
  <xr:revisionPtr revIDLastSave="215" documentId="8_{070950E3-E89F-4947-8F13-1A3D60E112EC}" xr6:coauthVersionLast="47" xr6:coauthVersionMax="47" xr10:uidLastSave="{09F75FB7-CA23-4A10-9319-3883F8768B1A}"/>
  <bookViews>
    <workbookView xWindow="-28920" yWindow="-15" windowWidth="29040" windowHeight="15720" activeTab="1" xr2:uid="{00000000-000D-0000-FFFF-FFFF00000000}"/>
  </bookViews>
  <sheets>
    <sheet name="Account Mastery_Analysis" sheetId="1" r:id="rId1"/>
    <sheet name="Account Mastery_Reference" sheetId="2" r:id="rId2"/>
    <sheet name="Logic and Calculation" sheetId="3" r:id="rId3"/>
  </sheets>
  <externalReferences>
    <externalReference r:id="rId4"/>
  </externalReference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7" i="2" l="1"/>
  <c r="M17" i="2"/>
  <c r="O16" i="2"/>
  <c r="M16" i="2"/>
  <c r="L3" i="2" l="1"/>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12" i="1" l="1" a="1"/>
  <c r="A12"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<sst xmlns="http://schemas.openxmlformats.org/spreadsheetml/2006/main" count="232" uniqueCount="180">
  <si>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</si>
  <si>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</si>
  <si>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</si>
  <si>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</si>
  <si>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</si>
  <si>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</si>
  <si>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</si>
  <si>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</si>
  <si>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</si>
  <si>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</si>
  <si>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</si>
  <si>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</si>
  <si>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</si>
  <si>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</si>
  <si>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</si>
  <si>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</si>
  <si>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</si>
  <si>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</si>
  <si>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</si>
  <si>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</si>
  <si>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</si>
  <si>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</si>
  <si>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</si>
  <si>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</si>
  <si>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</si>
  <si>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</si>
  <si>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</si>
  <si>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</si>
  <si>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</si>
  <si>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</si>
  <si>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</si>
  <si>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</si>
  <si>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</si>
  <si>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</si>
  <si>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</si>
  <si>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</si>
  <si>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</si>
  <si>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</si>
  <si>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</si>
  <si>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</si>
  <si>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</si>
  <si>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</si>
  <si>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</si>
  <si>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</si>
  <si>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</si>
  <si>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</si>
  <si>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</si>
  <si>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</si>
  <si>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</si>
  <si>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</si>
  <si>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</si>
  <si>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Client Relationship</t>
  </si>
  <si>
    <t>M001</t>
  </si>
  <si>
    <t>Meeting Frequency</t>
  </si>
  <si>
    <t>M002</t>
  </si>
  <si>
    <t>Touchpoint Frequency</t>
  </si>
  <si>
    <t>M003</t>
  </si>
  <si>
    <t>Budgets &amp; Goals Updated in Salesforce</t>
  </si>
  <si>
    <t>M004</t>
  </si>
  <si>
    <t>Salesforce Profile ID Populated</t>
  </si>
  <si>
    <t>QT Tech Mastery</t>
  </si>
  <si>
    <t>M005</t>
  </si>
  <si>
    <t>Dynamic Performance Labels (DPL) Active</t>
  </si>
  <si>
    <t>M006</t>
  </si>
  <si>
    <t>Custom Labels (min 2 managed by QT)</t>
  </si>
  <si>
    <t>M007</t>
  </si>
  <si>
    <t>Feed Transformers / Mapping Active</t>
  </si>
  <si>
    <t>M008</t>
  </si>
  <si>
    <t>Price Competitiveness Active</t>
  </si>
  <si>
    <t>M009</t>
  </si>
  <si>
    <t>Feed-Based Inventory Filters</t>
  </si>
  <si>
    <t>M010</t>
  </si>
  <si>
    <t>Product Types Configured</t>
  </si>
  <si>
    <t>M011</t>
  </si>
  <si>
    <t>Brand Mapping Configured</t>
  </si>
  <si>
    <t>Account Setup</t>
  </si>
  <si>
    <t>M012</t>
  </si>
  <si>
    <t>Quartile Portal Connection (Shopify/WooCommerce)</t>
  </si>
  <si>
    <t>M013</t>
  </si>
  <si>
    <t>Account Segment Classification</t>
  </si>
  <si>
    <t>M014</t>
  </si>
  <si>
    <t>Primary Objective Documented</t>
  </si>
  <si>
    <t>Confirm at least one client meeting occurred in the last 30 days.</t>
  </si>
  <si>
    <t>Meeting cadence is the primary signal of client engagement health. Gaps increase churn risk.</t>
  </si>
  <si>
    <t>Tab 22_Client_Success: CreatedDate of most recent QR record. Cross-reference CSM_Tenure__c and Last_Quarter_Success_Plan__c.</t>
  </si>
  <si>
    <t>Observed: Last meeting recorded {Last_meeting_date}. Days since last meeting: {Days_since_meeting}.</t>
  </si>
  <si>
    <t>Irregular meeting cadence is an early churn signal. Clients without regular touchpoints disengage faster.</t>
  </si>
  <si>
    <t>22_Client_Success</t>
  </si>
  <si>
    <t>Confirm at least biweekly CSM/CSA presence in client Slack or calls.</t>
  </si>
  <si>
    <t>Biweekly touchpoints ensure clients stay informed about performance and upcoming strategy changes.</t>
  </si>
  <si>
    <t>Tab 22_Client_Success: SystemModstamp for recency of CS updates. Manual check of Slack cadence required.</t>
  </si>
  <si>
    <t>Observed: Last CS update recorded {Last_update_date}. Touchpoint frequency: {Frequency}.</t>
  </si>
  <si>
    <t>Clients without regular touchpoints lose confidence in Quartile's active management of their account.</t>
  </si>
  <si>
    <t>22_Client_Success — Manual Check</t>
  </si>
  <si>
    <t>Confirm Target ROAS/Goal and Monthly Budget are populated and current in Salesforce.</t>
  </si>
  <si>
    <t>Without documented targets, the agent cannot evaluate performance vs goal across any pillar.</t>
  </si>
  <si>
    <t>Tab 22_Client_Success: Monthly_Budget__c (col 36), Primary_Spend_KPI__c (col 75). Flag if null or zero.</t>
  </si>
  <si>
    <t>Observed: Monthly Budget = {Monthly_Budget}. Primary KPI = {Primary_KPI}. Target ROAS = {Target_ROAS}.</t>
  </si>
  <si>
    <t>Undocumented goals prevent structured performance evaluation and signal poor account onboarding or handoff.</t>
  </si>
  <si>
    <t>Confirm the Advertiser ID (Profile ID) is correctly set in Salesforce.</t>
  </si>
  <si>
    <t>Profile ID links the Salesforce record to the Quartile Portal and reporting pipeline. Missing ID breaks data flow.</t>
  </si>
  <si>
    <t>Tab 22_Client_Success: AdvertiserId (col 81). Flag if null or mismatched with 01_Advertiser_Name.</t>
  </si>
  <si>
    <t>Observed: AdvertiserId in CS = {CS_AdvertiserId}. AdvertiserId in export = {Export_AdvertiserId}.</t>
  </si>
  <si>
    <t>A missing or incorrect Profile ID disconnects Quartile Portal reporting, DOMO dashboards, and automation triggers.</t>
  </si>
  <si>
    <t>22_Client_Success + 01_Advertiser_Name</t>
  </si>
  <si>
    <t>Confirm Dynamic Performance Labels are configured and active in the Quartile Portal for this Google account.</t>
  </si>
  <si>
    <t>DPLs are the foundational automation layer. Without them, bid adjustments and performance segmentation are manual.</t>
  </si>
  <si>
    <t>Tab 28_DPL_Performance: check for active DPL records. Flag if empty or all records show inactive status.</t>
  </si>
  <si>
    <t>Observed: DPL records found = {DPL_count}. Active DPLs = {Active_DPL_count}.</t>
  </si>
  <si>
    <t>DPLs drive automated performance-based bidding. An account without active DPLs is running below Quartile's core capability.</t>
  </si>
  <si>
    <t>28_DPL_Performance</t>
  </si>
  <si>
    <t>Confirm at least 2 custom labels are configured and managed by Quartile in the feed.</t>
  </si>
  <si>
    <t>Custom labels enable product segmentation for bidding strategy (price tier, margin, performance). Fewer than 2 limits strategy depth.</t>
  </si>
  <si>
    <t>Tab 30_Feed_Products: check for custom_label_0 through custom_label_4 columns. Count distinct non-null values.</t>
  </si>
  <si>
    <t>Observed: Custom labels detected = {Custom_label_count}. Labels: {Custom_label_values}.</t>
  </si>
  <si>
    <t>Without custom labels, Shopping and PMAX campaigns cannot be segmented by product performance or margin tier.</t>
  </si>
  <si>
    <t>30_Feed_Products</t>
  </si>
  <si>
    <t>Confirm product feed transformers (title/description optimization, mapping rules) are active in the Quartile Portal.</t>
  </si>
  <si>
    <t>Feed transformers improve product title relevance, which directly impacts Shopping impression share and CTR.</t>
  </si>
  <si>
    <t>Tab 30_Feed_Products: review Title column for QT optimization patterns. Manual Portal check required for transformer rules.</t>
  </si>
  <si>
    <t>Observed: Feed products loaded = {Feed_product_count}. Title optimization patterns detected: {Title_pattern}.</t>
  </si>
  <si>
    <t>Unoptimized product titles reduce Shopping match relevance, depressing impressions and clicks regardless of bid levels.</t>
  </si>
  <si>
    <t>30_Feed_Products — Manual Check</t>
  </si>
  <si>
    <t>Confirm the Price Competitiveness feature is receiving data and benchmarks are populated.</t>
  </si>
  <si>
    <t>Price competitiveness is a key Shopping signal. Without benchmark data, the account cannot identify pricing-driven impression loss.</t>
  </si>
  <si>
    <t>Tab 20_Price_Competitiveness: check benchmark_price column for non-null values. Flag if &gt;50% of products have no benchmark.</t>
  </si>
  <si>
    <t>Observed: {Products_with_benchmark} of {Total_feed_products} products ({Benchmark_coverage_pct}%) have benchmark pricing.</t>
  </si>
  <si>
    <t>Without price competitiveness data, margin and pricing strategy decisions are blind, directly impacting Shopping ROAS.</t>
  </si>
  <si>
    <t>20_Price_Competitiveness</t>
  </si>
  <si>
    <t>Confirm inventory filters are configured to suppress out-of-stock or low-margin products from serving ads.</t>
  </si>
  <si>
    <t>Serving ads to unavailable products wastes budget and degrades conversion rates and Quality Scores.</t>
  </si>
  <si>
    <t>Tab 30_Feed_Products: check Availability column for 'out of stock' values. Cross-check with 08_Product_Shopping_Report for zero-sales products with spend.</t>
  </si>
  <si>
    <t>Observed: Out-of-stock products in feed = {OOS_count}. Products with spend but no sales = {Zero_conv_spend_count}.</t>
  </si>
  <si>
    <t>Spending on unavailable or unsellable products inflates CPA and suppresses account-level ROAS directly.</t>
  </si>
  <si>
    <t>30_Feed_Products + 08_Product_Shopping_Report</t>
  </si>
  <si>
    <t>Confirm product type taxonomy is correctly mapped in the feed for campaign segmentation.</t>
  </si>
  <si>
    <t>Product types enable Shopping campaign structure by category. Missing types prevent proper CWCD and product-type targeting.</t>
  </si>
  <si>
    <t>Tab 30_Feed_Products: check ProductType column for non-null, structured values. Flag if &gt;30% of products have null ProductType.</t>
  </si>
  <si>
    <t>Observed: Products with ProductType populated = {PT_count} of {Total_products} ({PT_coverage_pct}%).</t>
  </si>
  <si>
    <t>Without product types, campaigns cannot be segmented by category, limiting bid strategy precision for high vs low performers.</t>
  </si>
  <si>
    <t>Confirm brand field is correctly populated in the feed for branded campaign segmentation.</t>
  </si>
  <si>
    <t>Brand field enables separation of branded vs non-branded campaigns in Shopping. Missing brands prevent TM campaign structure.</t>
  </si>
  <si>
    <t>Tab 30_Feed_Products: check Brand column. Flag if &gt;20% of products have null or generic brand values.</t>
  </si>
  <si>
    <t>Observed: Products with Brand populated = {Brand_count} of {Total_products} ({Brand_coverage_pct}%).</t>
  </si>
  <si>
    <t>Unbranded products in the feed cannot be targeted by branded Shopping campaigns, losing high-intent branded traffic.</t>
  </si>
  <si>
    <t>Confirm Quartile is connected to the client's e-commerce platform for total sales reporting.</t>
  </si>
  <si>
    <t>Platform connection enables total sales visibility (organic + paid), which is required to calculate TACoS and full funnel reporting.</t>
  </si>
  <si>
    <t>Tab 15_Stripe_and_Account_Info: IsConnect column (col 9). Tab 22_Client_Success: Channel__c (col 80). Flag if IsConnect = False.</t>
  </si>
  <si>
    <t>Observed: Quartile portal connection status = {Connection_status}. Platform channel = {Channel}.</t>
  </si>
  <si>
    <t>A disconnected platform means the account has no TACoS visibility and total sales cannot be tracked or reported.</t>
  </si>
  <si>
    <t>15_Stripe_and_Account_Info + 22_Client_Success</t>
  </si>
  <si>
    <t>Confirm the account is correctly classified by segment (SMB, Mid, Enterprise) and product type (Commodity vs Branded).</t>
  </si>
  <si>
    <t>Incorrect segment classification leads to wrong benchmarks, incorrect pricing, and misaligned strategy recommendations.</t>
  </si>
  <si>
    <t>Tab 15_Stripe_and_Account_Info: CustomerSegment (col 10). Tab 22_Client_Success: Commodity_Products_or_Branded_Products__c (col 25).</t>
  </si>
  <si>
    <t>Observed: Customer Segment = {Segment}. Product Classification = {Product_type}.</t>
  </si>
  <si>
    <t>Segment misclassification distorts CoE scoring benchmarks and can lead to incorrect strategic guidance from the agent.</t>
  </si>
  <si>
    <t>Confirm the client's primary objective and context are documented in Salesforce.</t>
  </si>
  <si>
    <t>Undocumented objectives mean strategy recommendations lack a north star. All pillar evaluations depend on knowing the primary goal.</t>
  </si>
  <si>
    <t>Tab 22_Client_Success: Primary_Objective__c (col 40), Primary_Objective_Additional_Context__c (col 39). Flag if null.</t>
  </si>
  <si>
    <t>Observed: Primary Objective = {Primary_Objective}. Context documented = {Context_present}.</t>
  </si>
  <si>
    <t>Without a documented primary objective, the entire CoE evaluation loses its strategic anchor and recommendations become generic.</t>
  </si>
  <si>
    <t xml:space="preserve">What You Should Do </t>
  </si>
  <si>
    <t>Creative &amp; Feed</t>
  </si>
  <si>
    <t>F028</t>
  </si>
  <si>
    <t>DPL Coverage</t>
  </si>
  <si>
    <t xml:space="preserve">Mastery </t>
  </si>
  <si>
    <t>Check Dynamic Performance Labels applied to top-spend products</t>
  </si>
  <si>
    <t>Without DPL all products are bid uniformly regardless of performance tier</t>
  </si>
  <si>
    <t>FLAG if DPL tab has no segment data for top-spend products. OK if TOP/MEDIUM/LOW segments present</t>
  </si>
  <si>
    <t>Observed: {num_dpl_segments} DPL segment(s) in window. Segments: {segment_list}. Top spend products with no DPL: {num_untagged_top_products}</t>
  </si>
  <si>
    <t>Without DPL segmentation the account cannot concentrate spend on top performers or suppress low-return products — a core efficiency lever that is unavailable without proper labeling.</t>
  </si>
  <si>
    <t>28_DPL_Performance (segment, cost)</t>
  </si>
  <si>
    <t>F029</t>
  </si>
  <si>
    <t>Product Type Coverage in Feed</t>
  </si>
  <si>
    <t>Check product type hierarchy populated in feed</t>
  </si>
  <si>
    <t>Missing product types prevent campaign segmentation and DPL targeting by category</t>
  </si>
  <si>
    <t>FLAG if &gt;30% of active feed products have null ProductTypeL1. PARTIAL if 15–30%</t>
  </si>
  <si>
    <t>Observed: {num_missing_product_type} of {total_feed_products} active products ({pct_missing}%) have null ProductTypeL1. Sample: {product_ids_sample}</t>
  </si>
  <si>
    <t>Missing product types prevent campaign-level segmentation, disable DPL targeting by category, and limit the account's ability to build structured shopping funnels.</t>
  </si>
  <si>
    <t>30_Feed_Products + 08_Product_Shopping_Report (ProductTypeL1, ProductTypeL2)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</si>
</sst>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rgb="FFFF0000"/>
        <bgColor indexed="64"/>
      </patternFill>
    </fill>
  </fills>
  <borders count="14">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50">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7"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0" fillId="0" borderId="9"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0" xfId="0" applyBorder="1" applyAlignment="1">
      <alignment wrapText="1"/>
    </xf>
    <xf numFmtId="0" fontId="13" fillId="0" borderId="9" xfId="0" applyFont="1" applyBorder="1" applyAlignment="1">
      <alignment horizontal="center" vertical="center" wrapText="1"/>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6" xfId="0" applyFill="1" applyBorder="1"/>
    <xf numFmtId="0" fontId="0" fillId="7" borderId="11"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0" fillId="0" borderId="6" xfId="0" applyBorder="1"/>
    <xf numFmtId="0" fontId="0" fillId="0" borderId="11" xfId="0" applyBorder="1"/>
    <xf numFmtId="0" fontId="1" fillId="5" borderId="5" xfId="0" applyFont="1" applyFill="1" applyBorder="1" applyAlignment="1">
      <alignment horizontal="center" vertical="center"/>
    </xf>
    <xf numFmtId="0" fontId="6" fillId="0" borderId="12" xfId="0" applyFont="1" applyBorder="1" applyAlignment="1">
      <alignment horizontal="center" vertical="center" wrapText="1"/>
    </xf>
    <xf numFmtId="0" fontId="6" fillId="8" borderId="3"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6" fillId="8" borderId="3" xfId="0" applyFont="1" applyFill="1" applyBorder="1" applyAlignment="1">
      <alignment horizontal="center" wrapText="1"/>
    </xf>
    <xf numFmtId="0" fontId="6" fillId="0" borderId="2" xfId="0" applyFont="1" applyBorder="1" applyAlignment="1">
      <alignment horizontal="left" vertical="top" wrapText="1"/>
    </xf>
    <xf numFmtId="0" fontId="0" fillId="0" borderId="0" xfId="0" applyAlignment="1">
      <alignment vertical="center" wrapText="1"/>
    </xf>
    <xf numFmtId="0" fontId="6" fillId="0" borderId="13" xfId="0" applyFont="1" applyBorder="1" applyAlignment="1">
      <alignment horizontal="left" vertical="top" wrapText="1"/>
    </xf>
    <xf numFmtId="0" fontId="6" fillId="0" borderId="3" xfId="0" applyFont="1" applyBorder="1" applyAlignment="1">
      <alignment horizontal="center" wrapText="1"/>
    </xf>
  </cellXfs>
  <cellStyles count="1">
    <cellStyle name="Normal" xfId="0" builtinId="0"/>
  </cellStyles>
  <dxfs count="32">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https://quartiledigital-my.sharepoint.com/personal/guilherme_quartile_com/Documents/Desktop/Quartile/ACCOUNT%20ANALISYS%20-%20COE/AGENT%20GOOGLE%20FULL%20ANALYSIS/COE-FULL-GOOGLE-ANALYSIS-main/templates/CoE_Google_Account_Implementation_Analysis_Templates.xlsm" TargetMode="External"/><Relationship Id="rId2" Type="http://schemas.microsoft.com/office/2019/04/relationships/externalLinkLongPath" Target="CoE_Google_Account_Implementation_Analysis_Templates.xlsm?C951F886" TargetMode="External"/><Relationship Id="rId1" Type="http://schemas.openxmlformats.org/officeDocument/2006/relationships/externalLinkPath" Target="file:///\\C951F886\CoE_Google_Account_Implementation_Analysis_Templa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Account Implement_Analysis"/>
      <sheetName val="Account Implement_Reference (U)"/>
      <sheetName val="Account Implement_Reference"/>
      <sheetName val="Logic and Calculation"/>
    </sheetNames>
    <sheetDataSet>
      <sheetData sheetId="0"/>
      <sheetData sheetId="1"/>
      <sheetData sheetId="2"/>
      <sheetData sheetId="3">
        <row r="3">
          <cell r="H3">
            <v>10</v>
          </cell>
          <cell r="I3">
            <v>-30</v>
          </cell>
          <cell r="J3" t="str">
            <v>Critical</v>
          </cell>
        </row>
        <row r="4">
          <cell r="H4">
            <v>9</v>
          </cell>
          <cell r="I4">
            <v>-27</v>
          </cell>
          <cell r="J4" t="str">
            <v>High</v>
          </cell>
        </row>
        <row r="5">
          <cell r="H5">
            <v>8</v>
          </cell>
          <cell r="I5">
            <v>-24</v>
          </cell>
          <cell r="J5" t="str">
            <v>High</v>
          </cell>
        </row>
        <row r="6">
          <cell r="H6">
            <v>7</v>
          </cell>
          <cell r="I6">
            <v>-21</v>
          </cell>
          <cell r="J6" t="str">
            <v>Medium</v>
          </cell>
        </row>
        <row r="7">
          <cell r="H7">
            <v>6</v>
          </cell>
          <cell r="I7">
            <v>-18</v>
          </cell>
          <cell r="J7" t="str">
            <v>Medium</v>
          </cell>
        </row>
        <row r="8">
          <cell r="H8">
            <v>5</v>
          </cell>
          <cell r="I8">
            <v>-15</v>
          </cell>
          <cell r="J8" t="str">
            <v>Medium</v>
          </cell>
        </row>
        <row r="9">
          <cell r="H9">
            <v>4</v>
          </cell>
          <cell r="I9">
            <v>-12</v>
          </cell>
          <cell r="J9" t="str">
            <v>Low</v>
          </cell>
        </row>
        <row r="10">
          <cell r="H10">
            <v>3</v>
          </cell>
          <cell r="I10">
            <v>-9</v>
          </cell>
          <cell r="J10" t="str">
            <v>Low</v>
          </cell>
        </row>
        <row r="11">
          <cell r="H11">
            <v>2</v>
          </cell>
          <cell r="I11">
            <v>-6</v>
          </cell>
          <cell r="J11" t="str">
            <v>Visibility</v>
          </cell>
        </row>
        <row r="12">
          <cell r="H12">
            <v>1</v>
          </cell>
          <cell r="I12">
            <v>0</v>
          </cell>
          <cell r="J12" t="str">
            <v>Visibility</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31" dataDxfId="29" headerRowBorderDxfId="30" tableBorderDxfId="28" totalsRowBorderDxfId="27">
  <autoFilter ref="A1:O15" xr:uid="{00000000-0009-0000-0100-000001000000}"/>
  <tableColumns count="15">
    <tableColumn id="1" xr3:uid="{00000000-0010-0000-0000-000001000000}" name="Block" dataDxfId="26"/>
    <tableColumn id="2" xr3:uid="{00000000-0010-0000-0000-000002000000}" name="Control ID" dataDxfId="25"/>
    <tableColumn id="3" xr3:uid="{00000000-0010-0000-0000-000003000000}" name="Control Name" dataDxfId="24"/>
    <tableColumn id="4" xr3:uid="{00000000-0010-0000-0000-000004000000}" name="STATUS" dataDxfId="23"/>
    <tableColumn id="5" xr3:uid="{00000000-0010-0000-0000-000005000000}" name="What" dataDxfId="22"/>
    <tableColumn id="6" xr3:uid="{00000000-0010-0000-0000-000006000000}" name="Why" dataDxfId="21"/>
    <tableColumn id="7" xr3:uid="{00000000-0010-0000-0000-000007000000}" name="How" dataDxfId="20"/>
    <tableColumn id="14" xr3:uid="{00000000-0010-0000-0000-00000E000000}" name="What We Saw" dataDxfId="19"/>
    <tableColumn id="13" xr3:uid="{00000000-0010-0000-0000-00000D000000}" name="Why It Matters" dataDxfId="18"/>
    <tableColumn id="15" xr3:uid="{91D81220-9E21-4328-BCAF-DF6994BDFAB6}" name="What You Should Do " dataDxfId="17"/>
    <tableColumn id="8" xr3:uid="{00000000-0010-0000-0000-000008000000}" name="Data Source" dataDxfId="16"/>
    <tableColumn id="9" xr3:uid="{00000000-0010-0000-0000-000009000000}" name="Impact" dataDxfId="15">
      <calculatedColumnFormula>VLOOKUP(Table1[[#This Row],[Importance]],'Logic and Calculation'!$H$3:$J$12,3,FALSE)</calculatedColumnFormula>
    </tableColumn>
    <tableColumn id="10" xr3:uid="{00000000-0010-0000-0000-00000A000000}" name="Importance" dataDxfId="14"/>
    <tableColumn id="11" xr3:uid="{00000000-0010-0000-0000-00000B000000}" name="Priority" dataDxfId="13">
      <calculatedColumnFormula>VLOOKUP(Table1[[#This Row],[Importance]],'Logic and Calculation'!$H$3:$J$12,2,FALSE)</calculatedColumnFormula>
    </tableColumn>
    <tableColumn id="12" xr3:uid="{00000000-0010-0000-0000-00000C000000}" name="Notes/Intent" dataDxfId="1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zoomScale="70" zoomScaleNormal="70" workbookViewId="0">
      <pane ySplit="8" topLeftCell="A9" activePane="bottomLeft" state="frozen"/>
      <selection pane="bottomLeft" activeCell="E19" sqref="E19"/>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1" t="s">
        <v>40</v>
      </c>
      <c r="B1" s="32"/>
      <c r="C1" s="32"/>
      <c r="D1" s="32"/>
      <c r="E1" s="32"/>
      <c r="F1" s="32"/>
      <c r="G1" s="33"/>
    </row>
    <row r="2" spans="1:7" x14ac:dyDescent="0.3">
      <c r="A2" s="16" t="s">
        <v>42</v>
      </c>
      <c r="B2" s="7" t="s">
        <v>43</v>
      </c>
      <c r="C2" s="7"/>
      <c r="D2" s="34"/>
      <c r="E2" s="35"/>
      <c r="F2" s="35"/>
      <c r="G2" s="35"/>
    </row>
    <row r="3" spans="1:7" x14ac:dyDescent="0.3">
      <c r="A3" s="15" t="s">
        <v>34</v>
      </c>
      <c r="B3" t="s">
        <v>35</v>
      </c>
      <c r="D3" s="14"/>
      <c r="E3"/>
      <c r="F3"/>
    </row>
    <row r="4" spans="1:7" ht="14.4" customHeight="1" x14ac:dyDescent="0.3">
      <c r="A4" s="16" t="s">
        <v>33</v>
      </c>
      <c r="B4" s="7" t="s">
        <v>36</v>
      </c>
      <c r="C4" s="7"/>
      <c r="D4" s="34"/>
      <c r="E4" s="35"/>
      <c r="F4" s="35"/>
      <c r="G4" s="35"/>
    </row>
    <row r="5" spans="1:7" ht="14.4" customHeight="1" x14ac:dyDescent="0.3">
      <c r="A5" s="16" t="s">
        <v>37</v>
      </c>
      <c r="B5" s="30">
        <v>46083.684884259259</v>
      </c>
      <c r="C5" s="7"/>
      <c r="D5" s="14"/>
      <c r="E5"/>
      <c r="F5"/>
    </row>
    <row r="6" spans="1:7" ht="15" thickBot="1" x14ac:dyDescent="0.35">
      <c r="A6" s="7"/>
      <c r="B6" s="7"/>
      <c r="C6" s="7"/>
      <c r="D6" s="12"/>
      <c r="E6" s="12"/>
      <c r="F6" s="12"/>
      <c r="G6" s="7"/>
    </row>
    <row r="7" spans="1:7" ht="21" customHeight="1" thickBot="1" x14ac:dyDescent="0.35">
      <c r="A7" s="36" t="s">
        <v>41</v>
      </c>
      <c r="B7" s="35"/>
      <c r="C7" s="35"/>
      <c r="D7" s="41" t="str">
        <f>'Logic and Calculation'!B5</f>
        <v xml:space="preserve">Compliant </v>
      </c>
      <c r="E7" s="39"/>
      <c r="F7" s="39"/>
      <c r="G7" s="40"/>
    </row>
    <row r="8" spans="1:7" ht="18" customHeight="1" thickBot="1" x14ac:dyDescent="0.35">
      <c r="A8" s="36" t="s">
        <v>0</v>
      </c>
      <c r="B8" s="35"/>
      <c r="C8" s="35"/>
      <c r="D8" s="38"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39"/>
      <c r="F8" s="39"/>
      <c r="G8" s="40"/>
    </row>
    <row r="9" spans="1:7" ht="18" customHeight="1" x14ac:dyDescent="0.3">
      <c r="A9" s="7"/>
      <c r="B9" s="7"/>
      <c r="C9" s="7"/>
      <c r="D9" s="12"/>
      <c r="E9" s="12"/>
      <c r="F9" s="12"/>
      <c r="G9" s="7"/>
    </row>
    <row r="10" spans="1:7" x14ac:dyDescent="0.3">
      <c r="A10" s="37" t="s">
        <v>1</v>
      </c>
      <c r="B10" s="35"/>
      <c r="C10" s="35"/>
      <c r="D10" s="35"/>
      <c r="E10" s="35"/>
      <c r="F10" s="35"/>
      <c r="G10" s="35"/>
    </row>
    <row r="11" spans="1:7" ht="19.95" customHeight="1" x14ac:dyDescent="0.3">
      <c r="A11" s="1" t="s">
        <v>2</v>
      </c>
      <c r="B11" s="1" t="s">
        <v>3</v>
      </c>
      <c r="C11" s="1" t="s">
        <v>4</v>
      </c>
      <c r="D11" s="1" t="s">
        <v>5</v>
      </c>
      <c r="E11" s="1" t="s">
        <v>6</v>
      </c>
      <c r="F11" s="1" t="s">
        <v>161</v>
      </c>
      <c r="G11" s="1" t="s">
        <v>7</v>
      </c>
    </row>
    <row r="12" spans="1:7" ht="44.4" customHeight="1" x14ac:dyDescent="0.3">
      <c r="A12" s="8" t="str" cm="1">
        <f t="array" ref="A12">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12" s="8"/>
      <c r="C12" s="9"/>
      <c r="D12" s="10"/>
      <c r="E12" s="10"/>
      <c r="F12" s="10"/>
      <c r="G12" s="8"/>
    </row>
    <row r="13" spans="1:7" ht="44.4" customHeight="1" x14ac:dyDescent="0.3">
      <c r="A13" s="8"/>
      <c r="B13" s="8"/>
      <c r="C13" s="6"/>
      <c r="D13" s="10"/>
      <c r="E13" s="10"/>
      <c r="F13" s="10"/>
      <c r="G13" s="8"/>
    </row>
    <row r="14" spans="1:7" ht="44.4" customHeight="1" x14ac:dyDescent="0.3">
      <c r="A14" s="8"/>
      <c r="B14" s="8"/>
      <c r="C14" s="6"/>
      <c r="D14" s="10"/>
      <c r="E14" s="10"/>
      <c r="F14" s="10"/>
      <c r="G14" s="8"/>
    </row>
    <row r="15" spans="1:7" ht="44.4" customHeight="1" x14ac:dyDescent="0.3">
      <c r="A15" s="8"/>
      <c r="B15" s="8"/>
      <c r="C15" s="6"/>
      <c r="D15" s="10"/>
      <c r="E15" s="10"/>
      <c r="F15" s="10"/>
      <c r="G15" s="8"/>
    </row>
    <row r="16" spans="1:7" ht="44.4" customHeight="1" x14ac:dyDescent="0.3">
      <c r="A16" s="8"/>
      <c r="B16" s="8"/>
      <c r="C16" s="6"/>
      <c r="D16" s="10"/>
      <c r="E16" s="10"/>
      <c r="F16" s="10"/>
      <c r="G16" s="8"/>
    </row>
    <row r="17" spans="1:7" ht="44.4" customHeight="1" x14ac:dyDescent="0.3">
      <c r="A17" s="8"/>
      <c r="B17" s="8"/>
      <c r="C17" s="6"/>
      <c r="D17" s="10"/>
      <c r="E17" s="10"/>
      <c r="F17" s="10"/>
      <c r="G17" s="8"/>
    </row>
    <row r="18" spans="1:7" ht="44.4" customHeight="1" x14ac:dyDescent="0.3">
      <c r="A18" s="8"/>
      <c r="B18" s="8"/>
      <c r="C18" s="6"/>
      <c r="D18" s="10"/>
      <c r="E18" s="10"/>
      <c r="F18" s="10"/>
      <c r="G18" s="8"/>
    </row>
    <row r="19" spans="1:7" ht="44.4" customHeight="1" x14ac:dyDescent="0.3">
      <c r="A19" s="8"/>
      <c r="B19" s="8"/>
      <c r="C19" s="6"/>
      <c r="D19" s="10"/>
      <c r="E19" s="10"/>
      <c r="F19" s="10"/>
      <c r="G19" s="8"/>
    </row>
    <row r="20" spans="1:7" ht="44.4" customHeight="1" x14ac:dyDescent="0.3">
      <c r="A20" s="8"/>
      <c r="B20" s="8"/>
      <c r="C20" s="6"/>
      <c r="D20" s="10"/>
      <c r="E20" s="10"/>
      <c r="F20" s="10"/>
      <c r="G20" s="8"/>
    </row>
    <row r="21" spans="1:7" ht="44.4" customHeight="1" x14ac:dyDescent="0.3">
      <c r="A21" s="8"/>
      <c r="B21" s="8"/>
      <c r="C21" s="6"/>
      <c r="D21" s="10"/>
      <c r="E21" s="10"/>
      <c r="F21" s="10"/>
      <c r="G21" s="8"/>
    </row>
    <row r="22" spans="1:7" ht="44.4" customHeight="1" x14ac:dyDescent="0.3">
      <c r="A22" s="8"/>
      <c r="B22" s="8"/>
      <c r="C22" s="6"/>
      <c r="D22" s="10"/>
      <c r="E22" s="10"/>
      <c r="F22" s="10"/>
      <c r="G22" s="8"/>
    </row>
    <row r="23" spans="1:7" ht="44.4" customHeight="1" x14ac:dyDescent="0.3">
      <c r="A23" s="8"/>
      <c r="B23" s="8"/>
      <c r="C23" s="6"/>
      <c r="D23" s="10"/>
      <c r="E23" s="10"/>
      <c r="F23" s="10"/>
      <c r="G23" s="8"/>
    </row>
    <row r="24" spans="1:7" ht="44.4" customHeight="1" x14ac:dyDescent="0.3">
      <c r="A24" s="8"/>
      <c r="B24" s="8"/>
      <c r="C24" s="6"/>
      <c r="D24" s="10"/>
      <c r="E24" s="10"/>
      <c r="F24" s="10"/>
      <c r="G24" s="8"/>
    </row>
    <row r="25" spans="1:7" ht="44.4" customHeight="1" x14ac:dyDescent="0.3">
      <c r="A25" s="8"/>
      <c r="B25" s="8"/>
      <c r="C25" s="6"/>
      <c r="D25" s="10"/>
      <c r="E25" s="10"/>
      <c r="F25" s="10"/>
      <c r="G25" s="8"/>
    </row>
    <row r="26" spans="1:7" ht="44.4" customHeight="1" x14ac:dyDescent="0.3">
      <c r="A26" s="7"/>
      <c r="B26" s="7"/>
      <c r="C26" s="6"/>
      <c r="D26" s="12"/>
      <c r="E26" s="12"/>
      <c r="F26" s="12"/>
      <c r="G26" s="7"/>
    </row>
    <row r="27" spans="1:7" ht="44.4" customHeight="1" x14ac:dyDescent="0.3">
      <c r="A27" s="7"/>
      <c r="B27" s="7"/>
      <c r="C27" s="6"/>
      <c r="D27" s="12"/>
      <c r="E27" s="12"/>
      <c r="F27" s="12"/>
      <c r="G27" s="7"/>
    </row>
    <row r="28" spans="1:7" ht="44.4" customHeight="1" x14ac:dyDescent="0.3">
      <c r="A28" s="7"/>
      <c r="B28" s="7"/>
      <c r="C28" s="6"/>
      <c r="D28" s="12"/>
      <c r="E28" s="12"/>
      <c r="F28" s="12"/>
      <c r="G28" s="7"/>
    </row>
    <row r="29" spans="1:7" ht="44.4" customHeight="1" x14ac:dyDescent="0.3">
      <c r="A29" s="7"/>
      <c r="B29" s="7"/>
      <c r="C29" s="6"/>
      <c r="D29" s="12"/>
      <c r="E29" s="12"/>
      <c r="F29" s="12"/>
      <c r="G29" s="7"/>
    </row>
    <row r="30" spans="1:7" ht="44.4" customHeight="1" x14ac:dyDescent="0.3">
      <c r="A30" s="7"/>
      <c r="B30" s="7"/>
      <c r="C30" s="6"/>
      <c r="D30" s="12"/>
      <c r="E30" s="12"/>
      <c r="F30" s="12"/>
      <c r="G30" s="7"/>
    </row>
    <row r="31" spans="1:7" ht="44.4" customHeight="1" x14ac:dyDescent="0.3">
      <c r="C31" s="6"/>
    </row>
    <row r="32" spans="1:7" ht="44.4" customHeight="1" x14ac:dyDescent="0.3">
      <c r="C32" s="6"/>
    </row>
    <row r="33" spans="3:3" ht="44.4" customHeight="1" x14ac:dyDescent="0.3">
      <c r="C33" s="6"/>
    </row>
    <row r="34" spans="3:3" ht="44.4" customHeight="1" x14ac:dyDescent="0.3">
      <c r="C34" s="6"/>
    </row>
    <row r="35" spans="3:3" ht="44.4" customHeight="1" x14ac:dyDescent="0.3">
      <c r="C35" s="6"/>
    </row>
  </sheetData>
  <mergeCells count="8">
    <mergeCell ref="A1:G1"/>
    <mergeCell ref="D4:G4"/>
    <mergeCell ref="A7:C7"/>
    <mergeCell ref="A10:G10"/>
    <mergeCell ref="D8:G8"/>
    <mergeCell ref="A8:C8"/>
    <mergeCell ref="D2:G2"/>
    <mergeCell ref="D7:G7"/>
  </mergeCells>
  <conditionalFormatting sqref="C12:C35">
    <cfRule type="cellIs" dxfId="11" priority="4" stopIfTrue="1" operator="equal">
      <formula>"OK"</formula>
    </cfRule>
    <cfRule type="cellIs" dxfId="10" priority="5" stopIfTrue="1" operator="equal">
      <formula>"PARTIAL"</formula>
    </cfRule>
    <cfRule type="cellIs" dxfId="9" priority="6" stopIfTrue="1" operator="equal">
      <formula>"FLAG"</formula>
    </cfRule>
  </conditionalFormatting>
  <conditionalFormatting sqref="D7:G7">
    <cfRule type="containsText" dxfId="8" priority="1" operator="containsText" text="Compliant ">
      <formula>NOT(ISERROR(SEARCH("Compliant ",D7)))</formula>
    </cfRule>
    <cfRule type="containsText" dxfId="7" priority="2" operator="containsText" text="Needs Attention">
      <formula>NOT(ISERROR(SEARCH("Needs Attention",D7)))</formula>
    </cfRule>
    <cfRule type="containsText" dxfId="6"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7"/>
  <sheetViews>
    <sheetView tabSelected="1" zoomScale="70" zoomScaleNormal="70" workbookViewId="0">
      <pane ySplit="1" topLeftCell="A2" activePane="bottomLeft" state="frozen"/>
      <selection pane="bottomLeft" activeCell="A16" sqref="A16:XFD17"/>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6" ht="28.2" customHeight="1" x14ac:dyDescent="0.3">
      <c r="A1" s="21" t="s">
        <v>8</v>
      </c>
      <c r="B1" s="22" t="s">
        <v>2</v>
      </c>
      <c r="C1" s="22" t="s">
        <v>3</v>
      </c>
      <c r="D1" s="22" t="s">
        <v>9</v>
      </c>
      <c r="E1" s="23" t="s">
        <v>10</v>
      </c>
      <c r="F1" s="22" t="s">
        <v>11</v>
      </c>
      <c r="G1" s="22" t="s">
        <v>12</v>
      </c>
      <c r="H1" s="22" t="s">
        <v>5</v>
      </c>
      <c r="I1" s="22" t="s">
        <v>6</v>
      </c>
      <c r="J1" s="22" t="s">
        <v>161</v>
      </c>
      <c r="K1" s="22" t="s">
        <v>13</v>
      </c>
      <c r="L1" s="22" t="s">
        <v>7</v>
      </c>
      <c r="M1" s="22" t="s">
        <v>14</v>
      </c>
      <c r="N1" s="22" t="s">
        <v>15</v>
      </c>
      <c r="O1" s="24" t="s">
        <v>16</v>
      </c>
    </row>
    <row r="2" spans="1:16" ht="46.8" customHeight="1" x14ac:dyDescent="0.3">
      <c r="A2" s="25" t="s">
        <v>51</v>
      </c>
      <c r="B2" s="3" t="s">
        <v>52</v>
      </c>
      <c r="C2" s="26" t="s">
        <v>53</v>
      </c>
      <c r="D2" s="3" t="s">
        <v>17</v>
      </c>
      <c r="E2" s="26" t="s">
        <v>82</v>
      </c>
      <c r="F2" s="26" t="s">
        <v>83</v>
      </c>
      <c r="G2" s="26" t="s">
        <v>84</v>
      </c>
      <c r="H2" s="26" t="s">
        <v>85</v>
      </c>
      <c r="I2" s="26" t="s">
        <v>86</v>
      </c>
      <c r="J2" s="26"/>
      <c r="K2" s="26" t="s">
        <v>87</v>
      </c>
      <c r="L2" s="3" t="str">
        <f>VLOOKUP(Table1[[#This Row],[Importance]],'Logic and Calculation'!$H$3:$J$12,3,FALSE)</f>
        <v>Critical</v>
      </c>
      <c r="M2" s="27">
        <v>10</v>
      </c>
      <c r="N2" s="3">
        <f>VLOOKUP(Table1[[#This Row],[Importance]],'Logic and Calculation'!$H$3:$J$12,2,FALSE)</f>
        <v>-18</v>
      </c>
      <c r="O2" s="28"/>
    </row>
    <row r="3" spans="1:16" ht="46.8" customHeight="1" x14ac:dyDescent="0.3">
      <c r="A3" s="25" t="s">
        <v>51</v>
      </c>
      <c r="B3" s="3" t="s">
        <v>54</v>
      </c>
      <c r="C3" s="26" t="s">
        <v>55</v>
      </c>
      <c r="D3" s="3" t="s">
        <v>17</v>
      </c>
      <c r="E3" s="26" t="s">
        <v>88</v>
      </c>
      <c r="F3" s="26" t="s">
        <v>89</v>
      </c>
      <c r="G3" s="26" t="s">
        <v>90</v>
      </c>
      <c r="H3" s="26" t="s">
        <v>91</v>
      </c>
      <c r="I3" s="26" t="s">
        <v>92</v>
      </c>
      <c r="J3" s="26"/>
      <c r="K3" s="26" t="s">
        <v>93</v>
      </c>
      <c r="L3" s="3" t="str">
        <f>VLOOKUP(Table1[[#This Row],[Importance]],'Logic and Calculation'!$H$3:$J$12,3,FALSE)</f>
        <v>High</v>
      </c>
      <c r="M3" s="27">
        <v>8</v>
      </c>
      <c r="N3" s="3">
        <f>VLOOKUP(Table1[[#This Row],[Importance]],'Logic and Calculation'!$H$3:$J$12,2,FALSE)</f>
        <v>-13</v>
      </c>
      <c r="O3" s="28"/>
    </row>
    <row r="4" spans="1:16" ht="46.8" customHeight="1" x14ac:dyDescent="0.3">
      <c r="A4" s="25" t="s">
        <v>51</v>
      </c>
      <c r="B4" s="3" t="s">
        <v>56</v>
      </c>
      <c r="C4" s="26" t="s">
        <v>57</v>
      </c>
      <c r="D4" s="3" t="s">
        <v>17</v>
      </c>
      <c r="E4" s="26" t="s">
        <v>94</v>
      </c>
      <c r="F4" s="26" t="s">
        <v>95</v>
      </c>
      <c r="G4" s="26" t="s">
        <v>96</v>
      </c>
      <c r="H4" s="26" t="s">
        <v>97</v>
      </c>
      <c r="I4" s="26" t="s">
        <v>98</v>
      </c>
      <c r="J4" s="26"/>
      <c r="K4" s="26" t="s">
        <v>87</v>
      </c>
      <c r="L4" s="3" t="str">
        <f>VLOOKUP(Table1[[#This Row],[Importance]],'Logic and Calculation'!$H$3:$J$12,3,FALSE)</f>
        <v>High</v>
      </c>
      <c r="M4" s="27">
        <v>9</v>
      </c>
      <c r="N4" s="3">
        <f>VLOOKUP(Table1[[#This Row],[Importance]],'Logic and Calculation'!$H$3:$J$12,2,FALSE)</f>
        <v>-15</v>
      </c>
      <c r="O4" s="28"/>
    </row>
    <row r="5" spans="1:16" ht="46.8" customHeight="1" x14ac:dyDescent="0.3">
      <c r="A5" s="25" t="s">
        <v>51</v>
      </c>
      <c r="B5" s="3" t="s">
        <v>58</v>
      </c>
      <c r="C5" s="26" t="s">
        <v>59</v>
      </c>
      <c r="D5" s="3" t="s">
        <v>17</v>
      </c>
      <c r="E5" s="26" t="s">
        <v>99</v>
      </c>
      <c r="F5" s="26" t="s">
        <v>100</v>
      </c>
      <c r="G5" s="26" t="s">
        <v>101</v>
      </c>
      <c r="H5" s="26" t="s">
        <v>102</v>
      </c>
      <c r="I5" s="26" t="s">
        <v>103</v>
      </c>
      <c r="J5" s="26"/>
      <c r="K5" s="26" t="s">
        <v>104</v>
      </c>
      <c r="L5" s="3" t="str">
        <f>VLOOKUP(Table1[[#This Row],[Importance]],'Logic and Calculation'!$H$3:$J$12,3,FALSE)</f>
        <v>Medium</v>
      </c>
      <c r="M5" s="27">
        <v>6</v>
      </c>
      <c r="N5" s="3">
        <f>VLOOKUP(Table1[[#This Row],[Importance]],'Logic and Calculation'!$H$3:$J$12,2,FALSE)</f>
        <v>-9</v>
      </c>
      <c r="O5" s="28"/>
    </row>
    <row r="6" spans="1:16" ht="46.8" customHeight="1" x14ac:dyDescent="0.3">
      <c r="A6" s="25" t="s">
        <v>60</v>
      </c>
      <c r="B6" s="3" t="s">
        <v>61</v>
      </c>
      <c r="C6" s="26" t="s">
        <v>62</v>
      </c>
      <c r="D6" s="3" t="s">
        <v>17</v>
      </c>
      <c r="E6" s="26" t="s">
        <v>105</v>
      </c>
      <c r="F6" s="26" t="s">
        <v>106</v>
      </c>
      <c r="G6" s="26" t="s">
        <v>107</v>
      </c>
      <c r="H6" s="26" t="s">
        <v>108</v>
      </c>
      <c r="I6" s="26" t="s">
        <v>109</v>
      </c>
      <c r="J6" s="26"/>
      <c r="K6" s="26" t="s">
        <v>110</v>
      </c>
      <c r="L6" s="3" t="str">
        <f>VLOOKUP(Table1[[#This Row],[Importance]],'Logic and Calculation'!$H$3:$J$12,3,FALSE)</f>
        <v>High</v>
      </c>
      <c r="M6" s="27">
        <v>8</v>
      </c>
      <c r="N6" s="3">
        <f>VLOOKUP(Table1[[#This Row],[Importance]],'Logic and Calculation'!$H$3:$J$12,2,FALSE)</f>
        <v>-13</v>
      </c>
      <c r="O6" s="28"/>
    </row>
    <row r="7" spans="1:16" ht="46.8" customHeight="1" x14ac:dyDescent="0.3">
      <c r="A7" s="25" t="s">
        <v>60</v>
      </c>
      <c r="B7" s="3" t="s">
        <v>63</v>
      </c>
      <c r="C7" s="26" t="s">
        <v>64</v>
      </c>
      <c r="D7" s="3" t="s">
        <v>17</v>
      </c>
      <c r="E7" s="26" t="s">
        <v>111</v>
      </c>
      <c r="F7" s="26" t="s">
        <v>112</v>
      </c>
      <c r="G7" s="26" t="s">
        <v>113</v>
      </c>
      <c r="H7" s="26" t="s">
        <v>114</v>
      </c>
      <c r="I7" s="26" t="s">
        <v>115</v>
      </c>
      <c r="J7" s="26"/>
      <c r="K7" s="26" t="s">
        <v>116</v>
      </c>
      <c r="L7" s="3" t="str">
        <f>VLOOKUP(Table1[[#This Row],[Importance]],'Logic and Calculation'!$H$3:$J$12,3,FALSE)</f>
        <v>High</v>
      </c>
      <c r="M7" s="27">
        <v>8</v>
      </c>
      <c r="N7" s="3">
        <f>VLOOKUP(Table1[[#This Row],[Importance]],'Logic and Calculation'!$H$3:$J$12,2,FALSE)</f>
        <v>-13</v>
      </c>
      <c r="O7" s="28"/>
    </row>
    <row r="8" spans="1:16" ht="46.8" customHeight="1" x14ac:dyDescent="0.3">
      <c r="A8" s="25" t="s">
        <v>60</v>
      </c>
      <c r="B8" s="3" t="s">
        <v>65</v>
      </c>
      <c r="C8" s="26" t="s">
        <v>66</v>
      </c>
      <c r="D8" s="3" t="s">
        <v>17</v>
      </c>
      <c r="E8" s="26" t="s">
        <v>117</v>
      </c>
      <c r="F8" s="26" t="s">
        <v>118</v>
      </c>
      <c r="G8" s="26" t="s">
        <v>119</v>
      </c>
      <c r="H8" s="26" t="s">
        <v>120</v>
      </c>
      <c r="I8" s="26" t="s">
        <v>121</v>
      </c>
      <c r="J8" s="26"/>
      <c r="K8" s="26" t="s">
        <v>122</v>
      </c>
      <c r="L8" s="3" t="str">
        <f>VLOOKUP(Table1[[#This Row],[Importance]],'Logic and Calculation'!$H$3:$J$12,3,FALSE)</f>
        <v>High</v>
      </c>
      <c r="M8" s="27">
        <v>9</v>
      </c>
      <c r="N8" s="3">
        <f>VLOOKUP(Table1[[#This Row],[Importance]],'Logic and Calculation'!$H$3:$J$12,2,FALSE)</f>
        <v>-15</v>
      </c>
      <c r="O8" s="28"/>
    </row>
    <row r="9" spans="1:16" ht="46.8" customHeight="1" x14ac:dyDescent="0.3">
      <c r="A9" s="29" t="s">
        <v>60</v>
      </c>
      <c r="B9" s="3" t="s">
        <v>67</v>
      </c>
      <c r="C9" s="20" t="s">
        <v>68</v>
      </c>
      <c r="D9" s="19" t="s">
        <v>17</v>
      </c>
      <c r="E9" s="20" t="s">
        <v>123</v>
      </c>
      <c r="F9" s="19" t="s">
        <v>124</v>
      </c>
      <c r="G9" s="19" t="s">
        <v>125</v>
      </c>
      <c r="H9" s="19" t="s">
        <v>126</v>
      </c>
      <c r="I9" s="19" t="s">
        <v>127</v>
      </c>
      <c r="J9" s="19"/>
      <c r="K9" s="19" t="s">
        <v>128</v>
      </c>
      <c r="L9" s="3" t="str">
        <f>VLOOKUP(Table1[[#This Row],[Importance]],'Logic and Calculation'!$H$3:$J$12,3,FALSE)</f>
        <v>Medium</v>
      </c>
      <c r="M9" s="27">
        <v>6</v>
      </c>
      <c r="N9" s="3">
        <f>VLOOKUP(Table1[[#This Row],[Importance]],'Logic and Calculation'!$H$3:$J$12,2,FALSE)</f>
        <v>-9</v>
      </c>
      <c r="O9" s="28"/>
    </row>
    <row r="10" spans="1:16" ht="46.8" customHeight="1" x14ac:dyDescent="0.3">
      <c r="A10" s="25" t="s">
        <v>60</v>
      </c>
      <c r="B10" s="3" t="s">
        <v>69</v>
      </c>
      <c r="C10" s="26" t="s">
        <v>70</v>
      </c>
      <c r="D10" s="19" t="s">
        <v>17</v>
      </c>
      <c r="E10" s="20" t="s">
        <v>129</v>
      </c>
      <c r="F10" s="19" t="s">
        <v>130</v>
      </c>
      <c r="G10" s="19" t="s">
        <v>131</v>
      </c>
      <c r="H10" s="19" t="s">
        <v>132</v>
      </c>
      <c r="I10" s="19" t="s">
        <v>133</v>
      </c>
      <c r="J10" s="19"/>
      <c r="K10" s="19" t="s">
        <v>134</v>
      </c>
      <c r="L10" s="3" t="str">
        <f>VLOOKUP(Table1[[#This Row],[Importance]],'Logic and Calculation'!$H$3:$J$12,3,FALSE)</f>
        <v>Medium</v>
      </c>
      <c r="M10" s="27">
        <v>5</v>
      </c>
      <c r="N10" s="3">
        <f>VLOOKUP(Table1[[#This Row],[Importance]],'Logic and Calculation'!$H$3:$J$12,2,FALSE)</f>
        <v>-7</v>
      </c>
      <c r="O10" s="28"/>
    </row>
    <row r="11" spans="1:16" ht="46.8" customHeight="1" x14ac:dyDescent="0.3">
      <c r="A11" s="29" t="s">
        <v>60</v>
      </c>
      <c r="B11" s="3" t="s">
        <v>71</v>
      </c>
      <c r="C11" s="20" t="s">
        <v>72</v>
      </c>
      <c r="D11" s="19" t="s">
        <v>17</v>
      </c>
      <c r="E11" s="20" t="s">
        <v>135</v>
      </c>
      <c r="F11" s="19" t="s">
        <v>136</v>
      </c>
      <c r="G11" s="19" t="s">
        <v>137</v>
      </c>
      <c r="H11" s="19" t="s">
        <v>138</v>
      </c>
      <c r="I11" s="19" t="s">
        <v>139</v>
      </c>
      <c r="J11" s="19"/>
      <c r="K11" s="19" t="s">
        <v>116</v>
      </c>
      <c r="L11" s="3" t="str">
        <f>VLOOKUP(Table1[[#This Row],[Importance]],'Logic and Calculation'!$H$3:$J$12,3,FALSE)</f>
        <v>High</v>
      </c>
      <c r="M11" s="27">
        <v>9</v>
      </c>
      <c r="N11" s="3">
        <f>VLOOKUP(Table1[[#This Row],[Importance]],'Logic and Calculation'!$H$3:$J$12,2,FALSE)</f>
        <v>-15</v>
      </c>
      <c r="O11" s="28"/>
    </row>
    <row r="12" spans="1:16" ht="46.8" customHeight="1" x14ac:dyDescent="0.3">
      <c r="A12" s="29" t="s">
        <v>60</v>
      </c>
      <c r="B12" s="3" t="s">
        <v>73</v>
      </c>
      <c r="C12" s="20" t="s">
        <v>74</v>
      </c>
      <c r="D12" s="19" t="s">
        <v>17</v>
      </c>
      <c r="E12" s="20" t="s">
        <v>140</v>
      </c>
      <c r="F12" s="19" t="s">
        <v>141</v>
      </c>
      <c r="G12" s="19" t="s">
        <v>142</v>
      </c>
      <c r="H12" s="19" t="s">
        <v>143</v>
      </c>
      <c r="I12" s="19" t="s">
        <v>144</v>
      </c>
      <c r="J12" s="19"/>
      <c r="K12" s="19" t="s">
        <v>116</v>
      </c>
      <c r="L12" s="3" t="str">
        <f>VLOOKUP(Table1[[#This Row],[Importance]],'Logic and Calculation'!$H$3:$J$12,3,FALSE)</f>
        <v>Critical</v>
      </c>
      <c r="M12" s="27">
        <v>10</v>
      </c>
      <c r="N12" s="3">
        <f>VLOOKUP(Table1[[#This Row],[Importance]],'Logic and Calculation'!$H$3:$J$12,2,FALSE)</f>
        <v>-18</v>
      </c>
      <c r="O12" s="28"/>
    </row>
    <row r="13" spans="1:16" ht="46.8" customHeight="1" x14ac:dyDescent="0.3">
      <c r="A13" s="29" t="s">
        <v>75</v>
      </c>
      <c r="B13" s="3" t="s">
        <v>76</v>
      </c>
      <c r="C13" s="20" t="s">
        <v>77</v>
      </c>
      <c r="D13" s="19" t="s">
        <v>17</v>
      </c>
      <c r="E13" s="20" t="s">
        <v>145</v>
      </c>
      <c r="F13" s="19" t="s">
        <v>146</v>
      </c>
      <c r="G13" s="19" t="s">
        <v>147</v>
      </c>
      <c r="H13" s="19" t="s">
        <v>148</v>
      </c>
      <c r="I13" s="19" t="s">
        <v>149</v>
      </c>
      <c r="J13" s="19"/>
      <c r="K13" s="19" t="s">
        <v>150</v>
      </c>
      <c r="L13" s="3" t="str">
        <f>VLOOKUP(Table1[[#This Row],[Importance]],'Logic and Calculation'!$H$3:$J$12,3,FALSE)</f>
        <v>Medium</v>
      </c>
      <c r="M13" s="27">
        <v>6</v>
      </c>
      <c r="N13" s="3">
        <f>VLOOKUP(Table1[[#This Row],[Importance]],'Logic and Calculation'!$H$3:$J$12,2,FALSE)</f>
        <v>-9</v>
      </c>
      <c r="O13" s="28"/>
    </row>
    <row r="14" spans="1:16" ht="46.8" customHeight="1" x14ac:dyDescent="0.3">
      <c r="A14" s="29" t="s">
        <v>75</v>
      </c>
      <c r="B14" s="3" t="s">
        <v>78</v>
      </c>
      <c r="C14" s="20" t="s">
        <v>79</v>
      </c>
      <c r="D14" s="19" t="s">
        <v>17</v>
      </c>
      <c r="E14" s="20" t="s">
        <v>151</v>
      </c>
      <c r="F14" s="19" t="s">
        <v>152</v>
      </c>
      <c r="G14" s="19" t="s">
        <v>153</v>
      </c>
      <c r="H14" s="19" t="s">
        <v>154</v>
      </c>
      <c r="I14" s="19" t="s">
        <v>155</v>
      </c>
      <c r="J14" s="19"/>
      <c r="K14" s="19" t="s">
        <v>150</v>
      </c>
      <c r="L14" s="3" t="str">
        <f>VLOOKUP(Table1[[#This Row],[Importance]],'Logic and Calculation'!$H$3:$J$12,3,FALSE)</f>
        <v>Medium</v>
      </c>
      <c r="M14" s="27">
        <v>7</v>
      </c>
      <c r="N14" s="3">
        <f>VLOOKUP(Table1[[#This Row],[Importance]],'Logic and Calculation'!$H$3:$J$12,2,FALSE)</f>
        <v>-11</v>
      </c>
      <c r="O14" s="28"/>
    </row>
    <row r="15" spans="1:16" ht="46.8" customHeight="1" x14ac:dyDescent="0.3">
      <c r="A15" s="29" t="s">
        <v>75</v>
      </c>
      <c r="B15" s="3" t="s">
        <v>80</v>
      </c>
      <c r="C15" s="20" t="s">
        <v>81</v>
      </c>
      <c r="D15" s="19" t="s">
        <v>17</v>
      </c>
      <c r="E15" s="20" t="s">
        <v>156</v>
      </c>
      <c r="F15" s="19" t="s">
        <v>157</v>
      </c>
      <c r="G15" s="19" t="s">
        <v>158</v>
      </c>
      <c r="H15" s="19" t="s">
        <v>159</v>
      </c>
      <c r="I15" s="19" t="s">
        <v>160</v>
      </c>
      <c r="J15" s="19"/>
      <c r="K15" s="19" t="s">
        <v>87</v>
      </c>
      <c r="L15" s="3" t="str">
        <f>VLOOKUP(Table1[[#This Row],[Importance]],'Logic and Calculation'!$H$3:$J$12,3,FALSE)</f>
        <v>High</v>
      </c>
      <c r="M15" s="27">
        <v>8</v>
      </c>
      <c r="N15" s="3">
        <f>VLOOKUP(Table1[[#This Row],[Importance]],'Logic and Calculation'!$H$3:$J$12,2,FALSE)</f>
        <v>-13</v>
      </c>
      <c r="O15" s="28"/>
    </row>
    <row r="16" spans="1:16" ht="48" x14ac:dyDescent="0.3">
      <c r="A16" s="42" t="s">
        <v>162</v>
      </c>
      <c r="B16" s="43" t="s">
        <v>163</v>
      </c>
      <c r="C16" s="44" t="s">
        <v>164</v>
      </c>
      <c r="D16" s="45" t="s">
        <v>17</v>
      </c>
      <c r="E16" s="45" t="s">
        <v>165</v>
      </c>
      <c r="F16" s="46" t="s">
        <v>166</v>
      </c>
      <c r="G16" s="46" t="s">
        <v>167</v>
      </c>
      <c r="H16" s="46" t="s">
        <v>168</v>
      </c>
      <c r="I16" s="47" t="s">
        <v>169</v>
      </c>
      <c r="J16" s="47" t="s">
        <v>170</v>
      </c>
      <c r="K16" s="47"/>
      <c r="L16" s="46" t="s">
        <v>171</v>
      </c>
      <c r="M16" s="3" t="e">
        <f>VLOOKUP([1]!Table1[[#This Row],[Importance]],'[1]Logic and Calculation'!$H$3:$J$12,3,FALSE)</f>
        <v>#VALUE!</v>
      </c>
      <c r="N16" s="3">
        <v>6</v>
      </c>
      <c r="O16" s="3" t="e">
        <f>VLOOKUP([1]!Table1[[#This Row],[Importance]],'[1]Logic and Calculation'!$H$3:$J$12,2,FALSE)</f>
        <v>#VALUE!</v>
      </c>
      <c r="P16" s="48"/>
    </row>
    <row r="17" spans="1:16" ht="108" x14ac:dyDescent="0.3">
      <c r="A17" s="42" t="s">
        <v>162</v>
      </c>
      <c r="B17" s="43" t="s">
        <v>172</v>
      </c>
      <c r="C17" s="44" t="s">
        <v>173</v>
      </c>
      <c r="D17" s="49" t="s">
        <v>17</v>
      </c>
      <c r="E17" s="45" t="s">
        <v>165</v>
      </c>
      <c r="F17" s="46" t="s">
        <v>174</v>
      </c>
      <c r="G17" s="46" t="s">
        <v>175</v>
      </c>
      <c r="H17" s="46" t="s">
        <v>176</v>
      </c>
      <c r="I17" s="47" t="s">
        <v>177</v>
      </c>
      <c r="J17" s="47" t="s">
        <v>178</v>
      </c>
      <c r="K17" s="47"/>
      <c r="L17" s="46" t="s">
        <v>179</v>
      </c>
      <c r="M17" s="3" t="e">
        <f>VLOOKUP([1]!Table1[[#This Row],[Importance]],'[1]Logic and Calculation'!$H$3:$J$12,3,FALSE)</f>
        <v>#VALUE!</v>
      </c>
      <c r="N17" s="3">
        <v>5</v>
      </c>
      <c r="O17" s="3" t="e">
        <f>VLOOKUP([1]!Table1[[#This Row],[Importance]],'[1]Logic and Calculation'!$H$3:$J$12,2,FALSE)</f>
        <v>#VALUE!</v>
      </c>
      <c r="P17" s="48"/>
    </row>
  </sheetData>
  <phoneticPr fontId="14" type="noConversion"/>
  <conditionalFormatting sqref="D2:D15">
    <cfRule type="cellIs" dxfId="5" priority="7" stopIfTrue="1" operator="equal">
      <formula>"OK"</formula>
    </cfRule>
    <cfRule type="cellIs" dxfId="4" priority="8" stopIfTrue="1" operator="equal">
      <formula>"PARTIAL"</formula>
    </cfRule>
    <cfRule type="cellIs" dxfId="3" priority="9" stopIfTrue="1" operator="equal">
      <formula>"FLAG"</formula>
    </cfRule>
  </conditionalFormatting>
  <conditionalFormatting sqref="D16:E1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15 D16:E17"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41</v>
      </c>
      <c r="M2" s="11" t="s">
        <v>24</v>
      </c>
    </row>
    <row r="3" spans="1:13" x14ac:dyDescent="0.3">
      <c r="A3" t="s">
        <v>25</v>
      </c>
      <c r="B3">
        <f>SUM(F8:F952)</f>
        <v>0</v>
      </c>
      <c r="D3" t="s">
        <v>47</v>
      </c>
      <c r="H3">
        <v>10</v>
      </c>
      <c r="I3">
        <v>-18</v>
      </c>
      <c r="J3" t="s">
        <v>26</v>
      </c>
      <c r="L3" t="s">
        <v>50</v>
      </c>
      <c r="M3" t="s">
        <v>44</v>
      </c>
    </row>
    <row r="4" spans="1:13" x14ac:dyDescent="0.3">
      <c r="A4" t="s">
        <v>27</v>
      </c>
      <c r="B4">
        <f>B2+B3</f>
        <v>100</v>
      </c>
      <c r="D4" t="s">
        <v>39</v>
      </c>
      <c r="H4">
        <v>9</v>
      </c>
      <c r="I4">
        <v>-15</v>
      </c>
      <c r="J4" t="s">
        <v>28</v>
      </c>
      <c r="L4" t="s">
        <v>38</v>
      </c>
      <c r="M4" t="s">
        <v>45</v>
      </c>
    </row>
    <row r="5" spans="1:13" x14ac:dyDescent="0.3">
      <c r="A5" t="s">
        <v>41</v>
      </c>
      <c r="B5" t="str">
        <f>IF(B4&gt;=75,"Compliant ",IF(AND(B4&lt;=74,B4&gt;=40),"Needs Attention","Not Compliant"))</f>
        <v xml:space="preserve">Compliant </v>
      </c>
      <c r="D5" t="s">
        <v>48</v>
      </c>
      <c r="H5">
        <v>8</v>
      </c>
      <c r="I5">
        <v>-13</v>
      </c>
      <c r="J5" t="s">
        <v>28</v>
      </c>
      <c r="L5" t="s">
        <v>46</v>
      </c>
      <c r="M5" t="s">
        <v>49</v>
      </c>
    </row>
    <row r="6" spans="1:13" x14ac:dyDescent="0.3">
      <c r="A6" t="s">
        <v>29</v>
      </c>
      <c r="B6" t="s">
        <v>30</v>
      </c>
      <c r="H6">
        <v>7</v>
      </c>
      <c r="I6">
        <v>-11</v>
      </c>
      <c r="J6" t="s">
        <v>18</v>
      </c>
    </row>
    <row r="7" spans="1:13" x14ac:dyDescent="0.3">
      <c r="H7">
        <v>6</v>
      </c>
      <c r="I7">
        <v>-9</v>
      </c>
      <c r="J7" t="s">
        <v>18</v>
      </c>
    </row>
    <row r="8" spans="1:13" x14ac:dyDescent="0.3">
      <c r="A8" t="str">
        <f>'Account Mastery_Reference'!B2</f>
        <v>M001</v>
      </c>
      <c r="B8" t="str">
        <f>'Account Mastery_Reference'!A2</f>
        <v>Client Relationship</v>
      </c>
      <c r="C8" t="str">
        <f>'Account Mastery_Reference'!C2</f>
        <v>Meeting Frequency</v>
      </c>
      <c r="D8" t="str">
        <f>'Account Mastery_Reference'!D2</f>
        <v>OK</v>
      </c>
      <c r="E8">
        <f>'Account Mastery_Reference'!N2</f>
        <v>-18</v>
      </c>
      <c r="F8">
        <f t="shared" ref="F8" si="0">IF(D8="FLAG",E8,IF(D8="PARTIAL",E8*0.5,0))</f>
        <v>0</v>
      </c>
      <c r="H8">
        <v>5</v>
      </c>
      <c r="I8">
        <v>-7</v>
      </c>
      <c r="J8" t="s">
        <v>18</v>
      </c>
    </row>
    <row r="9" spans="1:13" x14ac:dyDescent="0.3">
      <c r="A9" t="str">
        <f>'Account Mastery_Reference'!B3</f>
        <v>M002</v>
      </c>
      <c r="B9" t="str">
        <f>'Account Mastery_Reference'!A3</f>
        <v>Client Relationship</v>
      </c>
      <c r="C9" t="str">
        <f>'Account Mastery_Reference'!C3</f>
        <v>Touchpoint Frequency</v>
      </c>
      <c r="D9" t="str">
        <f>'Account Mastery_Reference'!D3</f>
        <v>OK</v>
      </c>
      <c r="E9">
        <f>'Account Mastery_Reference'!N3</f>
        <v>-13</v>
      </c>
      <c r="F9">
        <f t="shared" ref="F9:F19" si="1">IF(D9="FLAG",E9,IF(D9="PARTIAL",E9*0.5,0))</f>
        <v>0</v>
      </c>
      <c r="H9">
        <v>4</v>
      </c>
      <c r="I9">
        <v>-5</v>
      </c>
      <c r="J9" t="s">
        <v>31</v>
      </c>
    </row>
    <row r="10" spans="1:13" x14ac:dyDescent="0.3">
      <c r="A10" t="str">
        <f>'Account Mastery_Reference'!B4</f>
        <v>M003</v>
      </c>
      <c r="B10" t="str">
        <f>'Account Mastery_Reference'!A4</f>
        <v>Client Relationship</v>
      </c>
      <c r="C10" t="str">
        <f>'Account Mastery_Reference'!C4</f>
        <v>Budgets &amp; Goals Updated in Salesforce</v>
      </c>
      <c r="D10" t="str">
        <f>'Account Mastery_Reference'!D4</f>
        <v>OK</v>
      </c>
      <c r="E10">
        <f>'Account Mastery_Reference'!N4</f>
        <v>-15</v>
      </c>
      <c r="F10">
        <f t="shared" si="1"/>
        <v>0</v>
      </c>
      <c r="H10">
        <v>3</v>
      </c>
      <c r="I10">
        <v>-3</v>
      </c>
      <c r="J10" t="s">
        <v>31</v>
      </c>
    </row>
    <row r="11" spans="1:13" x14ac:dyDescent="0.3">
      <c r="A11" t="str">
        <f>'Account Mastery_Reference'!B5</f>
        <v>M004</v>
      </c>
      <c r="B11" t="str">
        <f>'Account Mastery_Reference'!A5</f>
        <v>Client Relationship</v>
      </c>
      <c r="C11" t="str">
        <f>'Account Mastery_Reference'!C5</f>
        <v>Salesforce Profile ID Populated</v>
      </c>
      <c r="D11" t="str">
        <f>'Account Mastery_Reference'!D5</f>
        <v>OK</v>
      </c>
      <c r="E11">
        <f>'Account Mastery_Reference'!N5</f>
        <v>-9</v>
      </c>
      <c r="F11">
        <f t="shared" si="1"/>
        <v>0</v>
      </c>
      <c r="H11">
        <v>2</v>
      </c>
      <c r="I11">
        <v>-2</v>
      </c>
      <c r="J11" t="s">
        <v>32</v>
      </c>
    </row>
    <row r="12" spans="1:13" x14ac:dyDescent="0.3">
      <c r="A12" t="str">
        <f>'Account Mastery_Reference'!B6</f>
        <v>M005</v>
      </c>
      <c r="B12" t="str">
        <f>'Account Mastery_Reference'!A6</f>
        <v>QT Tech Mastery</v>
      </c>
      <c r="C12" t="str">
        <f>'Account Mastery_Reference'!C6</f>
        <v>Dynamic Performance Labels (DPL) Active</v>
      </c>
      <c r="D12" t="str">
        <f>'Account Mastery_Reference'!D6</f>
        <v>OK</v>
      </c>
      <c r="E12">
        <f>'Account Mastery_Reference'!N6</f>
        <v>-13</v>
      </c>
      <c r="F12">
        <f t="shared" si="1"/>
        <v>0</v>
      </c>
      <c r="H12">
        <v>1</v>
      </c>
      <c r="I12">
        <v>0</v>
      </c>
      <c r="J12" t="s">
        <v>32</v>
      </c>
    </row>
    <row r="13" spans="1:13" x14ac:dyDescent="0.3">
      <c r="A13" t="str">
        <f>'Account Mastery_Reference'!B7</f>
        <v>M006</v>
      </c>
      <c r="B13" t="str">
        <f>'Account Mastery_Reference'!A7</f>
        <v>QT Tech Mastery</v>
      </c>
      <c r="C13" t="str">
        <f>'Account Mastery_Reference'!C7</f>
        <v>Custom Labels (min 2 managed by QT)</v>
      </c>
      <c r="D13" t="str">
        <f>'Account Mastery_Reference'!D7</f>
        <v>OK</v>
      </c>
      <c r="E13">
        <f>'Account Mastery_Reference'!N7</f>
        <v>-13</v>
      </c>
      <c r="F13">
        <f t="shared" si="1"/>
        <v>0</v>
      </c>
    </row>
    <row r="14" spans="1:13" x14ac:dyDescent="0.3">
      <c r="A14" t="str">
        <f>'Account Mastery_Reference'!B8</f>
        <v>M007</v>
      </c>
      <c r="B14" t="str">
        <f>'Account Mastery_Reference'!A8</f>
        <v>QT Tech Mastery</v>
      </c>
      <c r="C14" t="str">
        <f>'Account Mastery_Reference'!C8</f>
        <v>Feed Transformers / Mapping Active</v>
      </c>
      <c r="D14" t="str">
        <f>'Account Mastery_Reference'!D8</f>
        <v>OK</v>
      </c>
      <c r="E14">
        <f>'Account Mastery_Reference'!N8</f>
        <v>-15</v>
      </c>
      <c r="F14">
        <f t="shared" si="1"/>
        <v>0</v>
      </c>
    </row>
    <row r="15" spans="1:13" x14ac:dyDescent="0.3">
      <c r="A15" t="str">
        <f>'Account Mastery_Reference'!B9</f>
        <v>M008</v>
      </c>
      <c r="B15" t="str">
        <f>'Account Mastery_Reference'!A9</f>
        <v>QT Tech Mastery</v>
      </c>
      <c r="C15" t="str">
        <f>'Account Mastery_Reference'!C9</f>
        <v>Price Competitiveness Active</v>
      </c>
      <c r="D15" t="str">
        <f>'Account Mastery_Reference'!D9</f>
        <v>OK</v>
      </c>
      <c r="E15">
        <f>'Account Mastery_Reference'!N9</f>
        <v>-9</v>
      </c>
      <c r="F15">
        <f t="shared" si="1"/>
        <v>0</v>
      </c>
    </row>
    <row r="16" spans="1:13" x14ac:dyDescent="0.3">
      <c r="A16" t="str">
        <f>'Account Mastery_Reference'!B10</f>
        <v>M009</v>
      </c>
      <c r="B16" t="str">
        <f>'Account Mastery_Reference'!A10</f>
        <v>QT Tech Mastery</v>
      </c>
      <c r="C16" t="str">
        <f>'Account Mastery_Reference'!C10</f>
        <v>Feed-Based Inventory Filters</v>
      </c>
      <c r="D16" t="str">
        <f>'Account Mastery_Reference'!D10</f>
        <v>OK</v>
      </c>
      <c r="E16">
        <f>'Account Mastery_Reference'!N10</f>
        <v>-7</v>
      </c>
      <c r="F16">
        <f t="shared" si="1"/>
        <v>0</v>
      </c>
    </row>
    <row r="17" spans="1:6" x14ac:dyDescent="0.3">
      <c r="A17" t="str">
        <f>'Account Mastery_Reference'!B11</f>
        <v>M010</v>
      </c>
      <c r="B17" t="str">
        <f>'Account Mastery_Reference'!A11</f>
        <v>QT Tech Mastery</v>
      </c>
      <c r="C17" t="str">
        <f>'Account Mastery_Reference'!C11</f>
        <v>Product Types Configured</v>
      </c>
      <c r="D17" t="str">
        <f>'Account Mastery_Reference'!D11</f>
        <v>OK</v>
      </c>
      <c r="E17">
        <f>'Account Mastery_Reference'!N11</f>
        <v>-15</v>
      </c>
      <c r="F17">
        <f t="shared" si="1"/>
        <v>0</v>
      </c>
    </row>
    <row r="18" spans="1:6" x14ac:dyDescent="0.3">
      <c r="A18" t="str">
        <f>'Account Mastery_Reference'!B12</f>
        <v>M011</v>
      </c>
      <c r="B18" t="str">
        <f>'Account Mastery_Reference'!A12</f>
        <v>QT Tech Mastery</v>
      </c>
      <c r="C18" t="str">
        <f>'Account Mastery_Reference'!C12</f>
        <v>Brand Mapping Configured</v>
      </c>
      <c r="D18" t="str">
        <f>'Account Mastery_Reference'!D12</f>
        <v>OK</v>
      </c>
      <c r="E18">
        <f>'Account Mastery_Reference'!N12</f>
        <v>-18</v>
      </c>
      <c r="F18">
        <f t="shared" si="1"/>
        <v>0</v>
      </c>
    </row>
    <row r="19" spans="1:6" x14ac:dyDescent="0.3">
      <c r="A19" t="str">
        <f>'Account Mastery_Reference'!B13</f>
        <v>M012</v>
      </c>
      <c r="B19" t="str">
        <f>'Account Mastery_Reference'!A13</f>
        <v>Account Setup</v>
      </c>
      <c r="C19" t="str">
        <f>'Account Mastery_Reference'!C13</f>
        <v>Quartile Portal Connection (Shopify/WooCommerce)</v>
      </c>
      <c r="D19" t="str">
        <f>'Account Mastery_Reference'!D13</f>
        <v>OK</v>
      </c>
      <c r="E19">
        <f>'Account Mastery_Reference'!N13</f>
        <v>-9</v>
      </c>
      <c r="F19">
        <f t="shared" si="1"/>
        <v>0</v>
      </c>
    </row>
    <row r="20" spans="1:6" x14ac:dyDescent="0.3">
      <c r="A20" t="str">
        <f>'Account Mastery_Reference'!B14</f>
        <v>M013</v>
      </c>
      <c r="B20" t="str">
        <f>'Account Mastery_Reference'!A14</f>
        <v>Account Setup</v>
      </c>
      <c r="C20" t="str">
        <f>'Account Mastery_Reference'!C14</f>
        <v>Account Segment Classification</v>
      </c>
      <c r="D20" t="str">
        <f>'Account Mastery_Reference'!D14</f>
        <v>OK</v>
      </c>
      <c r="E20">
        <f>'Account Mastery_Reference'!N14</f>
        <v>-11</v>
      </c>
      <c r="F20">
        <f t="shared" ref="F20:F21" si="2">IF(D20="FLAG",E20,IF(D20="PARTIAL",E20*0.5,0))</f>
        <v>0</v>
      </c>
    </row>
    <row r="21" spans="1:6" x14ac:dyDescent="0.3">
      <c r="A21" t="str">
        <f>'Account Mastery_Reference'!B15</f>
        <v>M014</v>
      </c>
      <c r="B21" t="str">
        <f>'Account Mastery_Reference'!A15</f>
        <v>Account Setup</v>
      </c>
      <c r="C21" t="str">
        <f>'Account Mastery_Reference'!C15</f>
        <v>Primary Objective Documented</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2026-07-08T16:36:31Z</dcterms:modified>
</cp:coreProperties>
</file>