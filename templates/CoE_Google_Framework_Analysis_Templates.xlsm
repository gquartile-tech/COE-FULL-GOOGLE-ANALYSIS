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GOOGLE FULL ANALYSIS/coe-full-analysis/"/>
    </mc:Choice>
  </mc:AlternateContent>
  <xr:revisionPtr revIDLastSave="380" documentId="11_D7210D98AB9F6511CFA7447711E4920A3EEDBF74" xr6:coauthVersionLast="47" xr6:coauthVersionMax="47" xr10:uidLastSave="{F8E7BF2A-280C-43D5-811C-30FADEE5FA4F}"/>
  <bookViews>
    <workbookView xWindow="-50925" yWindow="4365" windowWidth="21600" windowHeight="11235" xr2:uid="{00000000-000D-0000-FFFF-FFFF00000000}"/>
  </bookViews>
  <sheets>
    <sheet name="Framework_Analysis" sheetId="1" r:id="rId1"/>
    <sheet name="Framework_Reference" sheetId="7" r:id="rId2"/>
    <sheet name="Logic and Calculation" sheetId="3" r:id="rId3"/>
  </sheets>
  <definedNames>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 i="1" l="1" a="1"/>
  <c r="A12" i="1" s="1"/>
  <c r="A47" i="3" l="1"/>
  <c r="B47" i="3"/>
  <c r="C47" i="3"/>
  <c r="D47" i="3"/>
  <c r="F47" i="3" s="1"/>
  <c r="A48" i="3"/>
  <c r="B48" i="3"/>
  <c r="C48" i="3"/>
  <c r="D48" i="3"/>
  <c r="F48" i="3"/>
  <c r="A49" i="3"/>
  <c r="B49" i="3"/>
  <c r="C49" i="3"/>
  <c r="D49" i="3"/>
  <c r="F49" i="3" s="1"/>
  <c r="A38" i="3"/>
  <c r="B38" i="3"/>
  <c r="C38" i="3"/>
  <c r="D38" i="3"/>
  <c r="F38" i="3" s="1"/>
  <c r="A39" i="3"/>
  <c r="B39" i="3"/>
  <c r="C39" i="3"/>
  <c r="D39" i="3"/>
  <c r="F39" i="3"/>
  <c r="A40" i="3"/>
  <c r="B40" i="3"/>
  <c r="C40" i="3"/>
  <c r="D40" i="3"/>
  <c r="F40" i="3" s="1"/>
  <c r="A41" i="3"/>
  <c r="B41" i="3"/>
  <c r="C41" i="3"/>
  <c r="D41" i="3"/>
  <c r="F41" i="3" s="1"/>
  <c r="A42" i="3"/>
  <c r="B42" i="3"/>
  <c r="C42" i="3"/>
  <c r="D42" i="3"/>
  <c r="F42" i="3" s="1"/>
  <c r="A43" i="3"/>
  <c r="B43" i="3"/>
  <c r="C43" i="3"/>
  <c r="D43" i="3"/>
  <c r="F43" i="3" s="1"/>
  <c r="A44" i="3"/>
  <c r="B44" i="3"/>
  <c r="C44" i="3"/>
  <c r="D44" i="3"/>
  <c r="F44" i="3" s="1"/>
  <c r="A45" i="3"/>
  <c r="B45" i="3"/>
  <c r="C45" i="3"/>
  <c r="D45" i="3"/>
  <c r="F45" i="3"/>
  <c r="A46" i="3"/>
  <c r="B46" i="3"/>
  <c r="C46" i="3"/>
  <c r="D46" i="3"/>
  <c r="F46" i="3" s="1"/>
  <c r="A9" i="3"/>
  <c r="B9" i="3"/>
  <c r="C9" i="3"/>
  <c r="D9" i="3"/>
  <c r="F9" i="3"/>
  <c r="A10" i="3"/>
  <c r="B10" i="3"/>
  <c r="C10" i="3"/>
  <c r="D10" i="3"/>
  <c r="F10" i="3"/>
  <c r="A11" i="3"/>
  <c r="B11" i="3"/>
  <c r="C11" i="3"/>
  <c r="D11" i="3"/>
  <c r="F11" i="3"/>
  <c r="A12" i="3"/>
  <c r="B12" i="3"/>
  <c r="C12" i="3"/>
  <c r="D12" i="3"/>
  <c r="F12" i="3"/>
  <c r="A13" i="3"/>
  <c r="B13" i="3"/>
  <c r="C13" i="3"/>
  <c r="D13" i="3"/>
  <c r="F13" i="3"/>
  <c r="A14" i="3"/>
  <c r="B14" i="3"/>
  <c r="C14" i="3"/>
  <c r="D14" i="3"/>
  <c r="F14" i="3"/>
  <c r="A15" i="3"/>
  <c r="B15" i="3"/>
  <c r="C15" i="3"/>
  <c r="D15" i="3"/>
  <c r="F15" i="3"/>
  <c r="A16" i="3"/>
  <c r="B16" i="3"/>
  <c r="C16" i="3"/>
  <c r="D16" i="3"/>
  <c r="F16" i="3"/>
  <c r="A17" i="3"/>
  <c r="B17" i="3"/>
  <c r="C17" i="3"/>
  <c r="D17" i="3"/>
  <c r="F17" i="3"/>
  <c r="A18" i="3"/>
  <c r="B18" i="3"/>
  <c r="C18" i="3"/>
  <c r="D18" i="3"/>
  <c r="F18" i="3"/>
  <c r="A19" i="3"/>
  <c r="B19" i="3"/>
  <c r="C19" i="3"/>
  <c r="D19" i="3"/>
  <c r="F19" i="3"/>
  <c r="A20" i="3"/>
  <c r="B20" i="3"/>
  <c r="C20" i="3"/>
  <c r="D20" i="3"/>
  <c r="F20" i="3"/>
  <c r="A21" i="3"/>
  <c r="B21" i="3"/>
  <c r="C21" i="3"/>
  <c r="D21" i="3"/>
  <c r="F21" i="3"/>
  <c r="A22" i="3"/>
  <c r="B22" i="3"/>
  <c r="C22" i="3"/>
  <c r="D22" i="3"/>
  <c r="F22" i="3"/>
  <c r="A23" i="3"/>
  <c r="B23" i="3"/>
  <c r="C23" i="3"/>
  <c r="D23" i="3"/>
  <c r="F23" i="3"/>
  <c r="A24" i="3"/>
  <c r="B24" i="3"/>
  <c r="C24" i="3"/>
  <c r="D24" i="3"/>
  <c r="F24" i="3"/>
  <c r="A25" i="3"/>
  <c r="B25" i="3"/>
  <c r="C25" i="3"/>
  <c r="D25" i="3"/>
  <c r="F25" i="3"/>
  <c r="A26" i="3"/>
  <c r="B26" i="3"/>
  <c r="C26" i="3"/>
  <c r="D26" i="3"/>
  <c r="F26" i="3"/>
  <c r="A27" i="3"/>
  <c r="B27" i="3"/>
  <c r="C27" i="3"/>
  <c r="D27" i="3"/>
  <c r="F27" i="3"/>
  <c r="A28" i="3"/>
  <c r="B28" i="3"/>
  <c r="C28" i="3"/>
  <c r="D28" i="3"/>
  <c r="F28" i="3"/>
  <c r="A29" i="3"/>
  <c r="B29" i="3"/>
  <c r="C29" i="3"/>
  <c r="D29" i="3"/>
  <c r="F29" i="3"/>
  <c r="A30" i="3"/>
  <c r="B30" i="3"/>
  <c r="C30" i="3"/>
  <c r="D30" i="3"/>
  <c r="F30" i="3"/>
  <c r="A31" i="3"/>
  <c r="B31" i="3"/>
  <c r="C31" i="3"/>
  <c r="D31" i="3"/>
  <c r="F31" i="3"/>
  <c r="A32" i="3"/>
  <c r="B32" i="3"/>
  <c r="C32" i="3"/>
  <c r="D32" i="3"/>
  <c r="F32" i="3"/>
  <c r="A33" i="3"/>
  <c r="B33" i="3"/>
  <c r="C33" i="3"/>
  <c r="D33" i="3"/>
  <c r="F33" i="3"/>
  <c r="A34" i="3"/>
  <c r="B34" i="3"/>
  <c r="C34" i="3"/>
  <c r="D34" i="3"/>
  <c r="F34" i="3"/>
  <c r="A35" i="3"/>
  <c r="B35" i="3"/>
  <c r="C35" i="3"/>
  <c r="D35" i="3"/>
  <c r="F35" i="3"/>
  <c r="A36" i="3"/>
  <c r="B36" i="3"/>
  <c r="C36" i="3"/>
  <c r="D36" i="3"/>
  <c r="F36" i="3"/>
  <c r="A37" i="3"/>
  <c r="B37" i="3"/>
  <c r="C37" i="3"/>
  <c r="D37" i="3"/>
  <c r="F37" i="3"/>
  <c r="D8" i="3"/>
  <c r="C8" i="3"/>
  <c r="B8" i="3"/>
  <c r="A8" i="3"/>
  <c r="N43" i="7" l="1"/>
  <c r="E49" i="3" s="1"/>
  <c r="L43" i="7"/>
  <c r="N42" i="7"/>
  <c r="E48" i="3" s="1"/>
  <c r="L42" i="7"/>
  <c r="N41" i="7"/>
  <c r="E47" i="3" s="1"/>
  <c r="L41" i="7"/>
  <c r="N40" i="7"/>
  <c r="E46" i="3" s="1"/>
  <c r="L40" i="7"/>
  <c r="N39" i="7"/>
  <c r="E45" i="3" s="1"/>
  <c r="L39" i="7"/>
  <c r="N38" i="7"/>
  <c r="E44" i="3" s="1"/>
  <c r="L38" i="7"/>
  <c r="N37" i="7"/>
  <c r="E43" i="3" s="1"/>
  <c r="L37" i="7"/>
  <c r="N36" i="7"/>
  <c r="E42" i="3" s="1"/>
  <c r="L36" i="7"/>
  <c r="N35" i="7"/>
  <c r="E41" i="3" s="1"/>
  <c r="L35" i="7"/>
  <c r="N34" i="7"/>
  <c r="E40" i="3" s="1"/>
  <c r="L34" i="7"/>
  <c r="N33" i="7"/>
  <c r="E39" i="3" s="1"/>
  <c r="L33" i="7"/>
  <c r="N32" i="7"/>
  <c r="E38" i="3" s="1"/>
  <c r="L32" i="7"/>
  <c r="N31" i="7"/>
  <c r="E37" i="3" s="1"/>
  <c r="L31" i="7"/>
  <c r="N30" i="7"/>
  <c r="E36" i="3" s="1"/>
  <c r="L30" i="7"/>
  <c r="N29" i="7"/>
  <c r="E35" i="3" s="1"/>
  <c r="L29" i="7"/>
  <c r="N28" i="7"/>
  <c r="E34" i="3" s="1"/>
  <c r="L28" i="7"/>
  <c r="N27" i="7"/>
  <c r="E33" i="3" s="1"/>
  <c r="L27" i="7"/>
  <c r="N26" i="7"/>
  <c r="E32" i="3" s="1"/>
  <c r="L26" i="7"/>
  <c r="N25" i="7"/>
  <c r="E31" i="3" s="1"/>
  <c r="L25" i="7"/>
  <c r="N24" i="7"/>
  <c r="E30" i="3" s="1"/>
  <c r="L24" i="7"/>
  <c r="N23" i="7"/>
  <c r="E29" i="3" s="1"/>
  <c r="L23" i="7"/>
  <c r="N22" i="7"/>
  <c r="E28" i="3" s="1"/>
  <c r="L22" i="7"/>
  <c r="N21" i="7"/>
  <c r="E27" i="3" s="1"/>
  <c r="L21" i="7"/>
  <c r="N20" i="7"/>
  <c r="E26" i="3" s="1"/>
  <c r="L20" i="7"/>
  <c r="N19" i="7"/>
  <c r="E25" i="3" s="1"/>
  <c r="L19" i="7"/>
  <c r="N18" i="7"/>
  <c r="E24" i="3" s="1"/>
  <c r="L18" i="7"/>
  <c r="N17" i="7"/>
  <c r="E23" i="3" s="1"/>
  <c r="L17" i="7"/>
  <c r="N16" i="7"/>
  <c r="E22" i="3" s="1"/>
  <c r="L16" i="7"/>
  <c r="N15" i="7"/>
  <c r="E21" i="3" s="1"/>
  <c r="L15" i="7"/>
  <c r="N14" i="7"/>
  <c r="E20" i="3" s="1"/>
  <c r="L14" i="7"/>
  <c r="N13" i="7"/>
  <c r="E19" i="3" s="1"/>
  <c r="L13" i="7"/>
  <c r="N12" i="7"/>
  <c r="E18" i="3" s="1"/>
  <c r="L12" i="7"/>
  <c r="N11" i="7"/>
  <c r="E17" i="3" s="1"/>
  <c r="L11" i="7"/>
  <c r="N10" i="7"/>
  <c r="E16" i="3" s="1"/>
  <c r="L10" i="7"/>
  <c r="N9" i="7"/>
  <c r="E15" i="3" s="1"/>
  <c r="L9" i="7"/>
  <c r="N8" i="7"/>
  <c r="E14" i="3" s="1"/>
  <c r="L8" i="7"/>
  <c r="N7" i="7"/>
  <c r="E13" i="3" s="1"/>
  <c r="L7" i="7"/>
  <c r="N6" i="7"/>
  <c r="E12" i="3" s="1"/>
  <c r="L6" i="7"/>
  <c r="N5" i="7"/>
  <c r="E11" i="3" s="1"/>
  <c r="L5" i="7"/>
  <c r="N4" i="7"/>
  <c r="E10" i="3" s="1"/>
  <c r="L4" i="7"/>
  <c r="N3" i="7"/>
  <c r="E9" i="3" s="1"/>
  <c r="L3" i="7"/>
  <c r="N2" i="7"/>
  <c r="E8" i="3" s="1"/>
  <c r="F8" i="3" s="1"/>
  <c r="L2" i="7"/>
  <c r="B3" i="3" l="1"/>
  <c r="B4" i="3" s="1"/>
  <c r="B5" i="3" l="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<sst xmlns="http://schemas.openxmlformats.org/spreadsheetml/2006/main" count="490" uniqueCount="390">
  <si>
    <t>53588A - US - ZooPro — Framework Analysis</t>
  </si>
  <si>
    <t>Framework Grade</t>
  </si>
  <si>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</si>
  <si>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</si>
  <si>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</si>
  <si>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</si>
  <si>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</si>
  <si>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</si>
  <si>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</si>
  <si>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</si>
  <si>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</si>
  <si>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</si>
  <si>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</si>
  <si>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</si>
  <si>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</si>
  <si>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</si>
  <si>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</si>
  <si>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</si>
  <si>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</si>
  <si>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Account Governance</t>
  </si>
  <si>
    <t>OK</t>
  </si>
  <si>
    <t>Medium</t>
  </si>
  <si>
    <t>Penalty Applied</t>
  </si>
  <si>
    <t>Start Score</t>
  </si>
  <si>
    <t>Bands</t>
  </si>
  <si>
    <t>Priority (Points Lost)</t>
  </si>
  <si>
    <t>Impact Magnitude</t>
  </si>
  <si>
    <t xml:space="preserve">Interpretation </t>
  </si>
  <si>
    <t>Total Penalty</t>
  </si>
  <si>
    <t>Critical</t>
  </si>
  <si>
    <t>The account framework is compliant. Core governance controls are correctly configured, enabling stable optimization and scalable performance.</t>
  </si>
  <si>
    <t>Final Score</t>
  </si>
  <si>
    <t>40–&lt;75 = Need Improvement</t>
  </si>
  <si>
    <t>High</t>
  </si>
  <si>
    <t>Need Improvement</t>
  </si>
  <si>
    <t>Structural deviations were identified that limit full system governance. Remediation is required before scaling.</t>
  </si>
  <si>
    <t>&lt;40 = Non-Compliant</t>
  </si>
  <si>
    <t>Non-Compliant</t>
  </si>
  <si>
    <t>Critical framework gaps were identified that materially restrict system control and optimization. Immediate remediation is required prior to any scaling activity.</t>
  </si>
  <si>
    <t>Partial weighting</t>
  </si>
  <si>
    <t>PARTIAL uses 50% of Priority</t>
  </si>
  <si>
    <t>Low</t>
  </si>
  <si>
    <t>Visibility</t>
  </si>
  <si>
    <t>Is Compliant</t>
  </si>
  <si>
    <t xml:space="preserve">Evaluation Window &gt; </t>
  </si>
  <si>
    <t>Account &gt;</t>
  </si>
  <si>
    <t>Account: 9B2AD3 - US - Greestone - seller | Tenant ID: 69ece8e2-28ed-4919-a7a7-b81ede84d5d5 | Account ID: 1425191550341661</t>
  </si>
  <si>
    <t>2025-12-31 to 2026-01-30 (30 days)</t>
  </si>
  <si>
    <t xml:space="preserve">Framework Version &gt; </t>
  </si>
  <si>
    <t>75–100 = Is Compliant</t>
  </si>
  <si>
    <t xml:space="preserve">Download Date &gt; </t>
  </si>
  <si>
    <t>Naming Convention Compliance</t>
  </si>
  <si>
    <t>Check all active campaigns follow QT_ prefix</t>
  </si>
  <si>
    <t>Non-standard names = unmanaged/legacy campaigns outside governance</t>
  </si>
  <si>
    <t>FLAG if any ENABLED campaign with Spend &gt; 0 doesn't start with QT_. PARTIAL if &lt;10% non-compliant. OK if all clean</t>
  </si>
  <si>
    <t>Legacy Campaign Cleanup</t>
  </si>
  <si>
    <t>Check for paused campaigns with historical spend not cleaned up</t>
  </si>
  <si>
    <t>Legacy campaigns signal unresolved structural debt</t>
  </si>
  <si>
    <t>Auto-Apply Settings</t>
  </si>
  <si>
    <t>Check no auto-apply is active without governance review</t>
  </si>
  <si>
    <t>Uncontrolled auto-apply introduces changes outside standard governance</t>
  </si>
  <si>
    <t>FLAG if BiddingStrategyType = AUTO on ENABLED campaigns without QT governance pattern</t>
  </si>
  <si>
    <t>Display Expansion Disabled on Search</t>
  </si>
  <si>
    <t>Check Search campaigns don't have TargetContentNetwork enabled</t>
  </si>
  <si>
    <t>Display expansion leaks budget to irrelevant placements</t>
  </si>
  <si>
    <t>FLAG if any ENABLED Search campaign has TargetContentNetwork = True</t>
  </si>
  <si>
    <t>Location Targeting Mode</t>
  </si>
  <si>
    <t>Promotion End Dates</t>
  </si>
  <si>
    <t>Check for campaigns with expired promotional windows still serving</t>
  </si>
  <si>
    <t>Expired promos waste budget on irrelevant messaging</t>
  </si>
  <si>
    <t>Match Type Governance</t>
  </si>
  <si>
    <t>Branded Search Campaign Active</t>
  </si>
  <si>
    <t>Check dedicated branded/TM Search campaign exists with spend</t>
  </si>
  <si>
    <t>Non-Brand Search Campaign Active</t>
  </si>
  <si>
    <t>Check at least one NB Search or NB-DSA campaign is active</t>
  </si>
  <si>
    <t>Search Term Waste</t>
  </si>
  <si>
    <t>Check search terms with spend above CPC threshold and zero conversions</t>
  </si>
  <si>
    <t>Negative Keyword Coverage</t>
  </si>
  <si>
    <t>PMAX Bid Strategy</t>
  </si>
  <si>
    <t>FLAG if any ENABLED PMAX campaign uses MANUAL_CPC</t>
  </si>
  <si>
    <t>Shopping Bid Strategy</t>
  </si>
  <si>
    <t>Budget Concentration — PMAX Dominance</t>
  </si>
  <si>
    <t>Check PMAX is not &gt;85% of total spend with no Search activity</t>
  </si>
  <si>
    <t>ACoS vs Constraint Alignment</t>
  </si>
  <si>
    <t>Check current ACoS against declared constraint in Client Success repo</t>
  </si>
  <si>
    <t>FLAG if current ACoS &gt; constraint × 1.20. PARTIAL if 10–20% above. OK if within tolerance</t>
  </si>
  <si>
    <t>Budget vs MRR Alignment</t>
  </si>
  <si>
    <t>Check monthly spend against budget target from Client Success repo</t>
  </si>
  <si>
    <t>Feed Product Availability</t>
  </si>
  <si>
    <t>Price Competitiveness</t>
  </si>
  <si>
    <t>FLAG if &gt;20% of products with spend have price_gap_perc &lt; -30%. PARTIAL if 10–20%</t>
  </si>
  <si>
    <t>PMAX Channel Distribution</t>
  </si>
  <si>
    <t>Check PMAX is not 100% Shopping with no Display/Search/YouTube</t>
  </si>
  <si>
    <t>DPL Coverage</t>
  </si>
  <si>
    <t>Product Type Coverage in Feed</t>
  </si>
  <si>
    <t>Full Funnel Channel Coverage</t>
  </si>
  <si>
    <t>Check PMAX + Search both present and active with spend</t>
  </si>
  <si>
    <t>Device Performance Imbalance</t>
  </si>
  <si>
    <t>Check mobile spend vs mobile conversion rate relative to desktop</t>
  </si>
  <si>
    <t>High mobile spend with low mobile CVR = budget leaking to low-intent device</t>
  </si>
  <si>
    <t>FLAG if mobile Spend &gt; 40% of total AND mobile CR &lt; 50% of desktop CR</t>
  </si>
  <si>
    <t>Geo Spend Concentration</t>
  </si>
  <si>
    <t>MultiChannel Product Coverage</t>
  </si>
  <si>
    <t>Conversion Tracking Active</t>
  </si>
  <si>
    <t>YoY ACoS Trend</t>
  </si>
  <si>
    <t>Check ACoS direction year-over-year</t>
  </si>
  <si>
    <t>FLAG if YoY ACoS change &gt; +15% (worsening). PARTIAL if +5–15%. OK if flat or improving</t>
  </si>
  <si>
    <t>PoP Spend Variance</t>
  </si>
  <si>
    <t>Manual QR Review</t>
  </si>
  <si>
    <t>Manual on-call review — QR presentation quality</t>
  </si>
  <si>
    <t>Manual check required. Always OK in automated scoring</t>
  </si>
  <si>
    <t>Budget &amp; Bid Strategy</t>
  </si>
  <si>
    <t>Creative &amp; Feed</t>
  </si>
  <si>
    <t>Automation &amp; Measurement</t>
  </si>
  <si>
    <t>06_Campaign_Report + 14_Campaign_Metadata</t>
  </si>
  <si>
    <t>07_Campaigns_by_Channel_Type + 22_Client_Success</t>
  </si>
  <si>
    <t>19_MultiChannel_Products + 27_Amazon_Product</t>
  </si>
  <si>
    <t>23_Campaign_Performance_CDM (cost_var)</t>
  </si>
  <si>
    <t>Google v1.0</t>
  </si>
  <si>
    <t>Observed: {num_non_qt_campaigns} active campaign(s) with spend not following QT_ naming convention. Non-compliant campaigns: {campaign_names_list}</t>
  </si>
  <si>
    <t>Non-standard naming breaks governance visibility. Without consistent naming, the CoE cannot reliably identify campaign intent, ownership, or optimization layer — increasing audit error risk and reducing CSM accountability.</t>
  </si>
  <si>
    <t>Unresolved legacy campaigns create structural clutter, inflate campaign count, and signal that account hygiene is not being maintained — a direct indicator of operational debt.</t>
  </si>
  <si>
    <t>Observed: {num_search_display_expansion} ENABLED Search campaign(s) with TargetContentNetwork = True. Campaigns: {campaign_names_list}</t>
  </si>
  <si>
    <t>Observed: {num_shopping_manual_cpc} ENABLED Shopping campaign(s) with Spend &gt; $100 using MANUAL_CPC without suppression/zombie classification. Campaigns: {campaign_names_list}</t>
  </si>
  <si>
    <t>Observed: {num_oos_products} product(s) with Spend &gt; $0 and Availability ≠ in stock. Total spend on unavailable products: ${oos_spend}. Products: {product_ids_list}</t>
  </si>
  <si>
    <t>Manual</t>
  </si>
  <si>
    <t>06_Campaign_Report (CampaignName, CampaignStatus, Spend)</t>
  </si>
  <si>
    <t>FLAG if PAUSED campaign has Spend &gt; 0 and StartDate &gt; 180 days ago. OK if none qualify</t>
  </si>
  <si>
    <t>06_Campaign_Report + 14_Campaign_Metadata (Status, StartDate, Spend)</t>
  </si>
  <si>
    <t>Observed: {num_legacy_campaigns} paused campaign(s) with historical spend and StartDate &gt; 180 days ago still present. Campaigns: {campaign_names_list}</t>
  </si>
  <si>
    <t>14_Campaign_Metadata (BiddingStrategyType, Status)</t>
  </si>
  <si>
    <t>Observed: {num_auto_apply_campaigns} ENABLED campaign(s) with auto-apply BiddingStrategyType without QT governance pattern. Campaigns: {campaign_names_list}</t>
  </si>
  <si>
    <t>Auto-apply changes bypass standard optimization controls, creating untracked strategy shifts that cannot be evaluated or reversed systematically.</t>
  </si>
  <si>
    <t>14_Campaign_Metadata (AdvertisingChannelType=SEARCH, TargetContentNetwork)</t>
  </si>
  <si>
    <t>Display expansion routes budget to placements with fundamentally different intent signals — inflating impressions and CTR while suppressing conversion efficiency and making performance analysis unreliable.</t>
  </si>
  <si>
    <t>Check Presence-only targeting applied and campaigns segmented by state/region</t>
  </si>
  <si>
    <t>Interest-based targeting inflates reach with low-intent users outside intended market</t>
  </si>
  <si>
    <t>FLAG if any ENABLED campaign uses Presence &amp; Interest instead of Presence only. PARTIAL if some campaigns misconfigured. OK if all set to Presence only</t>
  </si>
  <si>
    <t>14_Campaign_Metadata + 26_Location_Performance (Cost, Conversions, Region)</t>
  </si>
  <si>
    <t>Observed: {num_wrong_location_targeting} campaign(s) not using Presence-only targeting. Regions with spend and zero conversions: {num_zero_conversion_regions} capturing {pct_spend_zero_conversion}% of total spend</t>
  </si>
  <si>
    <t>Interest-based targeting inflates reach with low-intent users. Spending in non-converting regions wastes budget at scale and signals location targeting has not been reviewed against actual business geography.</t>
  </si>
  <si>
    <t>FLAG if any ENABLED campaign name contains promo/seasonal keywords (sale, promo, holiday, black friday, cyber) and StartDate &gt; 60 days ago</t>
  </si>
  <si>
    <t>14_Campaign_Metadata (CampaignName, StartDate, Status) + 06_Campaign_Report (Spend)</t>
  </si>
  <si>
    <t>Observed: {num_expired_promo_campaigns} ENABLED campaign(s) with promotional naming and StartDate &gt; 60 days ago still active. Campaigns: {campaign_names_list}</t>
  </si>
  <si>
    <t>Expired promotional campaigns continue consuming budget against irrelevant messaging, directly reducing ROAS and misleading performance attribution.</t>
  </si>
  <si>
    <t>PMAX Automation Settings Disabled</t>
  </si>
  <si>
    <t>Check all PMAX automation settings are turned off per QT governance standard</t>
  </si>
  <si>
    <t>PMAX automations override QT optimization logic with uncontrolled changes</t>
  </si>
  <si>
    <t>FLAG if any ENABLED PMAX campaign has automation settings active (auto-created assets, store goals, or similar). OK if all disabled</t>
  </si>
  <si>
    <t>14_Campaign_Metadata (AdvertisingChannelType=PERFORMANCE_MAX) + 06_Campaign_Report (CampaignStatus)</t>
  </si>
  <si>
    <t>Observed: {num_pmax_automation_on} ENABLED PMAX campaign(s) with automation settings active. Campaigns: {campaign_names_list}</t>
  </si>
  <si>
    <t>PMAX automations active without governance oversight introduce asset and bidding changes outside QT control, undermining optimization integrity and making it impossible to attribute performance changes to intentional strategy.</t>
  </si>
  <si>
    <t>Keyword &amp; Targeting</t>
  </si>
  <si>
    <t>Check keyword match type distribution across Search campaigns</t>
  </si>
  <si>
    <t>Pure BROAD-only or EXACT-only reduces coverage and control simultaneously</t>
  </si>
  <si>
    <t>FLAG if all keywords are BROAD with no EXACT or PHRASE. PARTIAL if EXACT &lt; 10% of total keywords. OK if mix includes ≥10% EXACT</t>
  </si>
  <si>
    <t>09_Keyword_Report (MatchType, CampaignName)</t>
  </si>
  <si>
    <t>Observed: {pct_broad_keywords}% of Search keywords are BROAD. EXACT coverage: {pct_exact_keywords}%. Total keywords reviewed: {total_keywords}</t>
  </si>
  <si>
    <t>A BROAD-dominated structure gives the bidding system minimal targeting constraints, increasing irrelevant query exposure and making spend efficiency harder to control without robust negative keyword management.</t>
  </si>
  <si>
    <t>TM Terms Uploaded to QT Portal</t>
  </si>
  <si>
    <t>Check trademark search terms identified and uploaded to QT portal</t>
  </si>
  <si>
    <t>Without TM terms in portal, branded query routing cannot be governed or protected</t>
  </si>
  <si>
    <t>FLAG if no TM/branded terms present in portal for accounts with Search campaigns and Spend &gt; $0. OK if TM terms confirmed uploaded</t>
  </si>
  <si>
    <t>09_Keyword_Report (CampaignName containing Brand/TM/SKW) + 06_Campaign_Report (Spend)</t>
  </si>
  <si>
    <t>Observed: {tm_terms_uploaded} TM terms detected in portal for this account. Search campaign spend in window: ${search_spend}</t>
  </si>
  <si>
    <t>TM terms not in the QT portal cannot govern branded query routing. Competitor ads may capture high-intent branded searches and brand-driven conversions become unattributed — directly impacting reported ROAS and account story.</t>
  </si>
  <si>
    <t>Without branded campaign TM terms are unprotected and unattributed</t>
  </si>
  <si>
    <t>FLAG if no ENABLED Search campaign name contains Brand/TM/SKW/Branded. OK if present with Spend &gt; 0</t>
  </si>
  <si>
    <t>06_Campaign_Report + 09_Keyword_Report (CampaignName, Spend, CampaignStatus)</t>
  </si>
  <si>
    <t>Observed: {branded_campaign_found} branded/TM Search campaign detected. Campaign: {branded_campaign_name}. Spend in window: ${branded_spend}</t>
  </si>
  <si>
    <t>Without a dedicated branded campaign, competitor ads can capture high-intent branded searches at lower cost and attribution for brand-driven conversions becomes invisible — directly impacting reported ROAS and account story.</t>
  </si>
  <si>
    <t>Without NB coverage account relies entirely on PMAX with no query-level visibility or control</t>
  </si>
  <si>
    <t>FLAG if no ENABLED non-branded Search campaign with Spend &gt; 0</t>
  </si>
  <si>
    <t>06_Campaign_Report (CampaignName, AdvertisingChannelType=SEARCH, Spend, CampaignStatus)</t>
  </si>
  <si>
    <t>Observed: {nb_campaign_found} non-branded Search campaign detected with Spend &gt; $0. Campaign: {nb_campaign_name}. Spend: ${nb_spend}</t>
  </si>
  <si>
    <t>Relying exclusively on PMAX for non-branded intent removes all query-level visibility. The account cannot identify converting terms, making optimization and negative management impossible.</t>
  </si>
  <si>
    <t>Unmanaged waste terms = missing negatives and budget leakage</t>
  </si>
  <si>
    <t>FLAG if any term has Spend &gt; (avg CPC × 3) and Conversions = 0. PARTIAL if 5–15% of search spend on zero-conversion terms. OK if &lt; 5%</t>
  </si>
  <si>
    <t>11_Search_Terms_Report + 29_Search_Terms_Performance_CDM (SearchTerm, Cost, Conversions)</t>
  </si>
  <si>
    <t>Observed: {num_waste_terms} search term(s) with Spend &gt; avg CPC × 3 and zero conversions. Total waste spend: ${waste_spend}. Waste as % of total search spend: {pct_waste}%</t>
  </si>
  <si>
    <t>Unmanaged waste terms signal incomplete negative keyword governance. Budget on zero-conversion terms inflates ACoS and suppresses efficiency without any offsetting return.</t>
  </si>
  <si>
    <t>Check Search campaigns have negative keyword governance via shared exclusion lists</t>
  </si>
  <si>
    <t>Campaigns without negatives = uncontrolled query routing and irrelevant traffic</t>
  </si>
  <si>
    <t>FLAG if Search campaigns have Spend &gt; $50 and no evidence of shared exclusion list applied. PARTIAL if partial coverage. OK if shared exclusion list present and applied</t>
  </si>
  <si>
    <t>11_Search_Terms_Report + 09_Keyword_Report (MatchType, Spend)</t>
  </si>
  <si>
    <t>Observed: {num_search_campaigns_no_negatives} Search campaign(s) with Spend &gt; $50 showing no shared exclusion list evidence. Campaigns: {campaign_names_list}</t>
  </si>
  <si>
    <t>Campaigns without shared exclusion lists route spend to irrelevant queries indiscriminately, inflating cost, reducing CVR, and making it impossible to attribute performance gains to intentional optimization.</t>
  </si>
  <si>
    <t>Check PMAX campaigns use TARGET_ROAS or TARGET_CPA not MANUAL_CPC</t>
  </si>
  <si>
    <t>PMAX + MANUAL_CPC defeats signal optimization and removes the automation advantage entirely</t>
  </si>
  <si>
    <t>14_Campaign_Metadata (AdvertisingChannelType=PERFORMANCE_MAX, BiddingStrategyType)</t>
  </si>
  <si>
    <t>Observed: {num_pmax_manual_cpc} ENABLED PMAX campaign(s) using MANUAL_CPC. Campaigns: {campaign_names_list}</t>
  </si>
  <si>
    <t>PMAX with MANUAL_CPC removes the automation advantage entirely, preventing the campaign type from functioning as intended and delivering worse results than a properly configured Shopping campaign would.</t>
  </si>
  <si>
    <t>Check active Shopping campaigns don't use MANUAL_CPC without suppression or funneling justification</t>
  </si>
  <si>
    <t>Manual CPC on Shopping without structural rationale = governance risk at scale</t>
  </si>
  <si>
    <t>FLAG if ENABLED Shopping with Spend &gt; $100 uses MANUAL_CPC and is not a suppression or zombie campaign. OK if smart bidding or justified manual structure</t>
  </si>
  <si>
    <t>14_Campaign_Metadata + 06_Campaign_Report (BiddingStrategyType, Spend, CampaignName)</t>
  </si>
  <si>
    <t>Manual CPC on active Shopping campaigns without funneling rationale increases bid management overhead and reduces the account's ability to respond dynamically to auction signals.</t>
  </si>
  <si>
    <t>PMAX dominance without Search = black-box account with no query-level visibility or control</t>
  </si>
  <si>
    <t>FLAG if PMAX spend share &gt; 85% and Search &lt; 5%. PARTIAL if PMAX &gt; 70% and Search &lt; 10%. OK if channel balance maintained</t>
  </si>
  <si>
    <t>07_Campaigns_by_Channel_Type (AdvertisingChannelType, Perc_Spend)</t>
  </si>
  <si>
    <t>Observed: PMAX spend share = {pmax_spend_pct}%. Search spend share = {search_spend_pct}%. Channel breakdown: {channel_breakdown}</t>
  </si>
  <si>
    <t>PMAX without Search creates a black-box account where no query-level data is surfaced. The account loses the ability to identify converting terms, manage negatives, or defend brand queries.</t>
  </si>
  <si>
    <t>Operating above constraint without documentation signals strategy misalignment or uncommunicated pivots</t>
  </si>
  <si>
    <t>02_Date_Range_KPIs + 22_Client_Success (ACOS_Constraint__c)</t>
  </si>
  <si>
    <t>Observed: Current ACoS = {current_acos}%. Declared constraint = {acos_constraint}%. Variance = {acos_variance}% vs constraint</t>
  </si>
  <si>
    <t>Operating above the declared ACoS constraint without a documented strategic reason signals the account is not being managed against its agreed KPI or that the constraint needs renegotiation — both require CSM action.</t>
  </si>
  <si>
    <t>Significant over/underspend signals budget governance failure and creates client-facing billing risk</t>
  </si>
  <si>
    <t>FLAG if actual spend &lt; 80% or &gt; 110% of monthly budget target. PARTIAL if 80–90% or 105–110%</t>
  </si>
  <si>
    <t>02_Date_Range_KPIs + 15_Stripe_and_Account_Info + 22_Client_Success (Monthly_Budget__c)</t>
  </si>
  <si>
    <t>Observed: Actual spend = ${actual_spend}. Monthly budget target = ${budget_target}. Variance = {budget_variance}% vs target</t>
  </si>
  <si>
    <t>Consistent underspend or overspend against the declared budget target directly impacts client billing expectations and account growth trajectory — one of the most visible failure points in client satisfaction reviews.</t>
  </si>
  <si>
    <t>Check products with spend are marked in stock</t>
  </si>
  <si>
    <t>Every dollar spent on an out-of-stock product generates a click that cannot convert</t>
  </si>
  <si>
    <t>FLAG if any product with Spend &gt; 0 has Availability ≠ in stock</t>
  </si>
  <si>
    <t>30_Feed_Products (Availability, cost)</t>
  </si>
  <si>
    <t>Spending on out-of-stock products is the highest-efficiency waste category in feed-based advertising — fully preventable with proper feed governance.</t>
  </si>
  <si>
    <t>Check products are not significantly priced below benchmark</t>
  </si>
  <si>
    <t>Products &gt;30% below benchmark signal margin erosion risk or feed pricing errors</t>
  </si>
  <si>
    <t>20_Price_Competitiveness + 30_Feed_Products (price_gap_perc, cost)</t>
  </si>
  <si>
    <t>Observed: {num_below_benchmark_products} product(s) with Spend &gt; $0 and price_gap_perc &lt; -30%. Average price gap: {avg_price_gap}%</t>
  </si>
  <si>
    <t>Products significantly below benchmark indicate feed pricing errors, margin compression, or competitive undercutting — affecting long-term account viability without appearing in standard ROAS metrics.</t>
  </si>
  <si>
    <t>100% Shopping PMAX = under-optimized, missing upper-funnel signal and new customer acquisition potential</t>
  </si>
  <si>
    <t>FLAG if all PMAX spend is SHOPPING only. PARTIAL if &gt;90% Shopping</t>
  </si>
  <si>
    <t>18_PMAX_Channels (FieldType, Cost)</t>
  </si>
  <si>
    <t>Observed: PMAX distribution — SHOPPING: {pmax_shopping_pct}%, DISPLAY: {pmax_display_pct}%, SEARCH: {pmax_search_pct}%, VIDEO: {pmax_video_pct}%. Total PMAX spend: ${pmax_total_spend}</t>
  </si>
  <si>
    <t>PMAX concentrated on Shopping only loses the multi-channel signal advantage that justifies its use. Upper-funnel exposure is eliminated, reducing new customer acquisition potential and long-term revenue growth.</t>
  </si>
  <si>
    <t>Ad Extensions — Sitelinks</t>
  </si>
  <si>
    <t>Check at least 4 sitelink extensions present at account or campaign level</t>
  </si>
  <si>
    <t>Fewer than 4 sitelinks reduce ad real estate and limit navigation options for high-intent users</t>
  </si>
  <si>
    <t>FLAG if active campaigns have fewer than 4 sitelinks. PARTIAL if 2–3. OK if ≥4</t>
  </si>
  <si>
    <t>06_Campaign_Report + 14_Campaign_Metadata (CampaignName, CampaignStatus)</t>
  </si>
  <si>
    <t>Observed: {num_sitelinks} sitelink extension(s) detected across active campaigns. Required minimum: 4</t>
  </si>
  <si>
    <t>Fewer than 4 sitelinks leave available ad space unused and reduce the account's ability to direct users to the most relevant landing pages.</t>
  </si>
  <si>
    <t>Ad Extensions — Structured Snippets</t>
  </si>
  <si>
    <t>Check structured snippets present where applicable</t>
  </si>
  <si>
    <t>Missing snippets reduce ad completeness and relevance signals for category and model-based queries</t>
  </si>
  <si>
    <t>FLAG if no structured snippets on active campaigns. OK if ≥1 present</t>
  </si>
  <si>
    <t>Observed: {num_structured_snippets} structured snippet(s) detected across active campaigns</t>
  </si>
  <si>
    <t>Missing snippets leave ad copy incomplete and reduce relevance signals for category-based queries.</t>
  </si>
  <si>
    <t>Ad Extensions — Callouts</t>
  </si>
  <si>
    <t>Check at least 1 callout extension present</t>
  </si>
  <si>
    <t>Missing callouts reduce ad copy quality and leave available messaging space unused</t>
  </si>
  <si>
    <t>FLAG if no callout extensions on active campaigns. OK if ≥1</t>
  </si>
  <si>
    <t>Observed: {num_callout_extensions} callout extension(s) detected across active campaigns</t>
  </si>
  <si>
    <t>Missing callouts leave available ad space unused and reduce competitive ad strength.</t>
  </si>
  <si>
    <t>Business Name Configured</t>
  </si>
  <si>
    <t>Check business name is set at account or campaign level</t>
  </si>
  <si>
    <t>Missing business name reduces ad credibility and quality signals</t>
  </si>
  <si>
    <t>FLAG if no business name configured on active PMAX or Search campaigns. OK if present</t>
  </si>
  <si>
    <t>Observed: {business_name_configured} business name configured on active campaigns</t>
  </si>
  <si>
    <t>Missing business name is a basic quality gap that reduces trust signals for new users encountering the brand for the first time.</t>
  </si>
  <si>
    <t>Logos Approved</t>
  </si>
  <si>
    <t>Check at least 1 approved logo asset present in active PMAX asset groups</t>
  </si>
  <si>
    <t>Missing logo reduces brand credibility and ad quality in display and Shopping placements</t>
  </si>
  <si>
    <t>FLAG if no approved logo in active PMAX campaigns. OK if ≥1 approved logo</t>
  </si>
  <si>
    <t>06_Campaign_Report (AdvertisingChannelType=PERFORMANCE_MAX, CampaignStatus)</t>
  </si>
  <si>
    <t>Observed: {num_approved_logos} approved logo asset(s) across active PMAX asset groups</t>
  </si>
  <si>
    <t>A missing logo removes brand identity from Display and Shopping placements — reducing recognition and credibility particularly in upper-funnel placements where visual brand signals matter most.</t>
  </si>
  <si>
    <t>Ad Strength</t>
  </si>
  <si>
    <t>Check active asset groups have at least one Good or Excellent ad strength rating</t>
  </si>
  <si>
    <t>Poor ad strength across all asset groups signals insufficient asset variety and reduces auction competitiveness</t>
  </si>
  <si>
    <t>FLAG if all active PMAX asset groups have Poor or Average only. PARTIAL if mixed with no Excellent. OK if ≥1 Good or Excellent</t>
  </si>
  <si>
    <t>Observed: Ad strength across active PMAX asset groups — Excellent: {num_excellent}, Good: {num_good}, Average: {num_average}, Poor: {num_poor}</t>
  </si>
  <si>
    <t>Poor ad strength signals insufficient asset variety to Google's auction system, reducing impression share and increasing CPC. Accounts with no Good or Excellent asset groups are systematically disadvantaged in competitive auctions.</t>
  </si>
  <si>
    <t>Check Dynamic Performance Labels applied to top-spend products</t>
  </si>
  <si>
    <t>Without DPL all products are bid uniformly regardless of performance tier</t>
  </si>
  <si>
    <t>FLAG if DPL tab has no segment data for top-spend products. OK if TOP/MEDIUM/LOW segments present</t>
  </si>
  <si>
    <t>28_DPL_Performance (segment, cost)</t>
  </si>
  <si>
    <t>Observed: {num_dpl_segments} DPL segment(s) in window. Segments: {segment_list}. Top spend products with no DPL: {num_untagged_top_products}</t>
  </si>
  <si>
    <t>Without DPL segmentation the account cannot concentrate spend on top performers or suppress low-return products — a core efficiency lever that is unavailable without proper labeling.</t>
  </si>
  <si>
    <t>Check product type hierarchy populated in feed</t>
  </si>
  <si>
    <t>Missing product types prevent campaign segmentation and DPL targeting by category</t>
  </si>
  <si>
    <t>FLAG if &gt;30% of active feed products have null ProductTypeL1. PARTIAL if 15–30%</t>
  </si>
  <si>
    <t>30_Feed_Products + 08_Product_Shopping_Report (ProductTypeL1, ProductTypeL2)</t>
  </si>
  <si>
    <t>Observed: {num_missing_product_type} of {total_feed_products} active products ({pct_missing}%) have null ProductTypeL1. Sample: {product_ids_sample}</t>
  </si>
  <si>
    <t>Missing product types prevent campaign-level segmentation, disable DPL targeting by category, and limit the account's ability to build structured shopping funnels.</t>
  </si>
  <si>
    <t>PMAX Listing Group Eligible</t>
  </si>
  <si>
    <t>Check PMAX asset groups have active listing groups with eligible products</t>
  </si>
  <si>
    <t>Asset groups without eligible listing groups cannot serve Shopping inventory</t>
  </si>
  <si>
    <t>FLAG if any active PMAX campaign has asset groups with no eligible products. OK if all active asset groups have eligible products</t>
  </si>
  <si>
    <t>06_Campaign_Report (AdvertisingChannelType=PERFORMANCE_MAX) + 08_Product_Shopping_Report</t>
  </si>
  <si>
    <t>Observed: {num_ineligible_listing_groups} PMAX asset group(s) with no eligible products. Total active PMAX campaigns: {num_active_pmax}</t>
  </si>
  <si>
    <t>Asset groups without eligible listing groups mean PMAX budget is consumed by Display and Search without the Shopping anchor that drives product-level conversion — a structural efficiency gap.</t>
  </si>
  <si>
    <t>Shopping Campaign Priority</t>
  </si>
  <si>
    <t>Check Shopping campaign priority settings correctly ordered (General=High, Remnant=Medium/Low)</t>
  </si>
  <si>
    <t>Incorrect priority order breaks funneling structure and routes traffic to the wrong campaign tier</t>
  </si>
  <si>
    <t>FLAG if any active Shopping campaign has a priority setting conflicting with the standard hierarchy. OK if correctly ordered or only one Shopping campaign active</t>
  </si>
  <si>
    <t>14_Campaign_Metadata (AdvertisingChannelType=SHOPPING, CampaignName) + 06_Campaign_Report (Spend)</t>
  </si>
  <si>
    <t>Observed: {num_shopping_campaigns} active Shopping campaign(s). Priority conflicts: {num_priority_conflicts}. Campaigns with incorrect priority: {campaign_names_list}</t>
  </si>
  <si>
    <t>Incorrect priority routing sends traffic to the wrong tier, bypassing suppression and funneling logic entirely — collapsing the Shopping structure and making spend allocation unpredictable.</t>
  </si>
  <si>
    <t>Quartile Keyword Expander Enabled</t>
  </si>
  <si>
    <t>Check Keyword Expander is enabled on RSA/Search campaigns in QT portal</t>
  </si>
  <si>
    <t>Keyword Expander disabled means account is not benefiting from QT's automated expansion logic</t>
  </si>
  <si>
    <t>FLAG if Keyword Expander not enabled for active Search campaigns in QT portal. OK if enabled</t>
  </si>
  <si>
    <t>06_Campaign_Report (AdvertisingChannelType=SEARCH) + 14_Campaign_Metadata</t>
  </si>
  <si>
    <t>Observed: {keyword_expander_status} Keyword Expander status in QT portal for active Search campaigns</t>
  </si>
  <si>
    <t>Keyword Expander disabled removes one of QT's core automation advantages for Search, limiting growth potential and requiring manual keyword management that scales poorly.</t>
  </si>
  <si>
    <t>Audience &amp; Funnel</t>
  </si>
  <si>
    <t>Single-channel account = no funnel coverage and no redundancy</t>
  </si>
  <si>
    <t>FLAG if only one channel type has Spend &gt; 0. PARTIAL if second channel &lt; 5% spend share</t>
  </si>
  <si>
    <t>Observed: Active channels with Spend &gt; $0: {active_channels_list}. Channel spend distribution: {channel_breakdown}</t>
  </si>
  <si>
    <t>A single-channel account lacks the funnel layering needed to capture different intent stages, limiting growth ceiling and making performance entirely dependent on one signal source.</t>
  </si>
  <si>
    <t>PMAX Audience Requirements</t>
  </si>
  <si>
    <t>Check PMAX campaigns have at minimum a custom segment and a remarketing audience applied</t>
  </si>
  <si>
    <t>PMAX without audience signals operates in pure query-matching mode with no behavioral layering</t>
  </si>
  <si>
    <t>FLAG if no custom segment AND no remarketing audience on active PMAX. PARTIAL if only one present. OK if both applied</t>
  </si>
  <si>
    <t>Observed: {num_audience_types} audience type(s) on PMAX. Custom segment: {custom_segment_present}. Remarketing: {remarketing_present}</t>
  </si>
  <si>
    <t>PMAX without custom segments and remarketing lacks the behavioral signal layer needed to prioritize high-value users, reducing efficiency and new customer acquisition quality.</t>
  </si>
  <si>
    <t>PMAX Search Themes</t>
  </si>
  <si>
    <t>Check PMAX asset groups have at least 10 search themes configured</t>
  </si>
  <si>
    <t>Fewer than 10 themes gives Google insufficient intent signal to guide PMAX toward relevant queries</t>
  </si>
  <si>
    <t>FLAG if active PMAX asset groups have fewer than 10 search themes. PARTIAL if 5–9. OK if ≥10</t>
  </si>
  <si>
    <t>06_Campaign_Report (AdvertisingChannelType=PERFORMANCE_MAX) + 14_Campaign_Metadata</t>
  </si>
  <si>
    <t>Observed: {num_search_themes} search theme(s) across active PMAX asset groups. Required minimum: 10</t>
  </si>
  <si>
    <t>Fewer than 10 search themes provides insufficient intent guidance for PMAX — Google defaults to broader and less efficient query matching without adequate theme coverage.</t>
  </si>
  <si>
    <t>16_Device_Breakdown (Device, Spend, Orders)</t>
  </si>
  <si>
    <t>Observed: Mobile spend share = {mobile_spend_pct}%. Mobile CR = {mobile_cr}%. Desktop CR = {desktop_cr}%. Mobile CR as % of desktop CR = {mobile_vs_desktop_cr_pct}%</t>
  </si>
  <si>
    <t>Routing significant spend to mobile when mobile CVR is materially below desktop inflates CPA without proportional return — a bid adjustment governance gap that directly degrades account efficiency.</t>
  </si>
  <si>
    <t>Check geographic spend concentration vs conversion distribution with state-level segmentation applied</t>
  </si>
  <si>
    <t>Spend concentrated in zero-conversion regions = targeting inefficiency compounding over time</t>
  </si>
  <si>
    <t>FLAG if top 3 states capture &gt;90% of spend but &lt;50% of conversions. PARTIAL if moderate misalignment</t>
  </si>
  <si>
    <t>26_Location_Performance (Cost, Conversions, State)</t>
  </si>
  <si>
    <t>Observed: Top 3 states by spend = {top_3_states_spend_pct}% of total spend. Top 3 states by conversions = {top_3_states_conv_pct}% of conversions. Zero-conversion states with spend: {num_zero_conv_states}</t>
  </si>
  <si>
    <t>Geographic misalignment between spend and conversions indicates location targeting has not been reviewed against actual performance data — spend in non-converting regions compounds over time.</t>
  </si>
  <si>
    <t>Check multi-channel products are tracked and active</t>
  </si>
  <si>
    <t>Products active on both Google and Amazon without cross-channel visibility create attribution blind spots</t>
  </si>
  <si>
    <t>PARTIAL if tab empty and account has Amazon presence. OK if no Amazon presence. FLAG if data present but not actioned</t>
  </si>
  <si>
    <t>Observed: MultiChannel Products tab: {num_multichannel_products} product(s). Amazon Product tab status: {amazon_tab_status}</t>
  </si>
  <si>
    <t>Budget allocation decisions without cross-channel visibility may systematically over- or under-invest in one channel at the expense of blended return.</t>
  </si>
  <si>
    <t>Check campaigns with spend are generating conversion data</t>
  </si>
  <si>
    <t>Campaigns spending with zero conversions = tracking failure or critical CVR issue — account is operating blind</t>
  </si>
  <si>
    <t>FLAG if any ENABLED campaign has Spend &gt; $50 and Orders = 0 in window. PARTIAL if isolated to one campaign type</t>
  </si>
  <si>
    <t>06_Campaign_Report (Spend, Orders, CampaignStatus)</t>
  </si>
  <si>
    <t>Observed: {num_zero_conversion_campaigns} ENABLED campaign(s) with Spend &gt; $50 and Orders = 0. Total spend on zero-conversion campaigns: ${zero_conv_spend}. Campaigns: {campaign_names_list}</t>
  </si>
  <si>
    <t>Campaigns spending without conversion signal represent either a tracking failure or fundamental performance breakdown — spend is consumed with no measurable return and no feedback loop for optimization.</t>
  </si>
  <si>
    <t>Degrading ACoS YoY without documented strategic reason = structural inefficiency signal</t>
  </si>
  <si>
    <t>03_Yearly_KPIs__Current_vs_Last (metric=ACoS, YoY)</t>
  </si>
  <si>
    <t>Observed: Current ACoS = {current_acos}%. Prior year ACoS = {prior_year_acos}%. YoY change = {yoy_acos_change}%</t>
  </si>
  <si>
    <t>A worsening ACoS trend YoY without strategic explanation signals the account is becoming less efficient over time — the opposite of the expected trajectory for a managed account.</t>
  </si>
  <si>
    <t>Check period-over-period spend variance within expected bounds</t>
  </si>
  <si>
    <t>Spend variance &gt;30% MoM without seasonal context = budget instability and client-facing billing unpredictability</t>
  </si>
  <si>
    <t>FLAG if spend variance &gt; 30% vs prior period. PARTIAL if 15–30%</t>
  </si>
  <si>
    <t>Observed: Spend variance vs prior period = {spend_variance_pct}%. Current spend = ${current_spend}. Prior period spend = ${prior_spend}</t>
  </si>
  <si>
    <t>Unexplained spend volatility above 30% MoM makes it impossible to evaluate whether performance changes are strategy-driven or budget-driven — and creates client-facing billing unpredictability.</t>
  </si>
  <si>
    <t>On-call quality is the most visible representation of CoE standards to the client and cannot be substituted by data review</t>
  </si>
  <si>
    <t>Manual review required during QR presentation call. Interaction and explanation quality cannot be assessed from system data</t>
  </si>
  <si>
    <t>On-call quality directly affects client perception of account management competence and cannot be substituted by data review alone.</t>
  </si>
  <si>
    <t>F001</t>
  </si>
  <si>
    <t>F002</t>
  </si>
  <si>
    <t>F003</t>
  </si>
  <si>
    <t>F004</t>
  </si>
  <si>
    <t>F005</t>
  </si>
  <si>
    <t>F006</t>
  </si>
  <si>
    <t>F007</t>
  </si>
  <si>
    <t>F008</t>
  </si>
  <si>
    <t>F009</t>
  </si>
  <si>
    <t>F010</t>
  </si>
  <si>
    <t>F011</t>
  </si>
  <si>
    <t>F012</t>
  </si>
  <si>
    <t>F013</t>
  </si>
  <si>
    <t>F014</t>
  </si>
  <si>
    <t>F015</t>
  </si>
  <si>
    <t>F016</t>
  </si>
  <si>
    <t>F017</t>
  </si>
  <si>
    <t>F018</t>
  </si>
  <si>
    <t>F019</t>
  </si>
  <si>
    <t>F020</t>
  </si>
  <si>
    <t>F021</t>
  </si>
  <si>
    <t>F022</t>
  </si>
  <si>
    <t>F023</t>
  </si>
  <si>
    <t>F024</t>
  </si>
  <si>
    <t>F025</t>
  </si>
  <si>
    <t>F026</t>
  </si>
  <si>
    <t>F027</t>
  </si>
  <si>
    <t>F028</t>
  </si>
  <si>
    <t>F029</t>
  </si>
  <si>
    <t>F030</t>
  </si>
  <si>
    <t>F031</t>
  </si>
  <si>
    <t>F032</t>
  </si>
  <si>
    <t>F033</t>
  </si>
  <si>
    <t>F034</t>
  </si>
  <si>
    <t>F035</t>
  </si>
  <si>
    <t>F036</t>
  </si>
  <si>
    <t>F037</t>
  </si>
  <si>
    <t>F038</t>
  </si>
  <si>
    <t>F039</t>
  </si>
  <si>
    <t>F040</t>
  </si>
  <si>
    <t>F041</t>
  </si>
  <si>
    <t>F042</t>
  </si>
  <si>
    <t xml:space="preserve">What You Should 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</si>
</sst>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sz val="8"/>
      <name val="Calibri"/>
      <family val="2"/>
      <scheme val="minor"/>
    </font>
    <font>
      <sz val="9"/>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8">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rgb="FFD0D0D0"/>
      </left>
      <right/>
      <top style="thin">
        <color rgb="FFD0D0D0"/>
      </top>
      <bottom/>
      <diagonal/>
    </border>
    <border>
      <left style="thin">
        <color indexed="64"/>
      </left>
      <right style="thin">
        <color indexed="64"/>
      </right>
      <top/>
      <bottom style="thin">
        <color indexed="64"/>
      </bottom>
      <diagonal/>
    </border>
    <border>
      <left style="medium">
        <color indexed="64"/>
      </left>
      <right style="thin">
        <color rgb="FFD0D0D0"/>
      </right>
      <top style="medium">
        <color indexed="64"/>
      </top>
      <bottom style="medium">
        <color indexed="64"/>
      </bottom>
      <diagonal/>
    </border>
    <border>
      <left style="thin">
        <color rgb="FFD0D0D0"/>
      </left>
      <right style="thin">
        <color rgb="FFD0D0D0"/>
      </right>
      <top style="medium">
        <color indexed="64"/>
      </top>
      <bottom style="medium">
        <color indexed="64"/>
      </bottom>
      <diagonal/>
    </border>
    <border>
      <left style="thin">
        <color rgb="FFD0D0D0"/>
      </left>
      <right/>
      <top style="medium">
        <color indexed="64"/>
      </top>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D0D0D0"/>
      </left>
      <right style="thin">
        <color rgb="FFD0D0D0"/>
      </right>
      <top/>
      <bottom/>
      <diagonal/>
    </border>
    <border>
      <left/>
      <right style="medium">
        <color indexed="64"/>
      </right>
      <top style="medium">
        <color indexed="64"/>
      </top>
      <bottom style="medium">
        <color indexed="64"/>
      </bottom>
      <diagonal/>
    </border>
  </borders>
  <cellStyleXfs count="1">
    <xf numFmtId="0" fontId="0" fillId="0" borderId="0"/>
  </cellStyleXfs>
  <cellXfs count="51">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left" vertical="top" wrapText="1"/>
    </xf>
    <xf numFmtId="0" fontId="6" fillId="0" borderId="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left" vertical="top" wrapText="1"/>
    </xf>
    <xf numFmtId="0" fontId="5" fillId="2" borderId="6" xfId="0" applyFont="1" applyFill="1" applyBorder="1" applyAlignment="1">
      <alignment horizontal="center" vertical="center" wrapText="1"/>
    </xf>
    <xf numFmtId="0" fontId="6" fillId="0" borderId="7" xfId="0" applyFont="1" applyBorder="1" applyAlignment="1">
      <alignment horizontal="center" vertical="center" wrapText="1"/>
    </xf>
    <xf numFmtId="0" fontId="6" fillId="0" borderId="7" xfId="0" applyFont="1" applyBorder="1" applyAlignment="1">
      <alignment horizontal="left" vertical="top"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8" fillId="4" borderId="0" xfId="0" applyFont="1" applyFill="1"/>
    <xf numFmtId="0" fontId="5" fillId="2" borderId="10" xfId="0" applyFont="1" applyFill="1" applyBorder="1" applyAlignment="1">
      <alignment horizontal="center" vertical="center"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0" fillId="0" borderId="0" xfId="0" applyAlignment="1">
      <alignment horizontal="center"/>
    </xf>
    <xf numFmtId="0" fontId="5" fillId="2" borderId="9" xfId="0" applyFont="1" applyFill="1" applyBorder="1" applyAlignment="1">
      <alignment horizontal="center" wrapText="1"/>
    </xf>
    <xf numFmtId="0" fontId="6" fillId="0" borderId="7" xfId="0" applyFont="1" applyBorder="1" applyAlignment="1">
      <alignment horizont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13"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22" fontId="0" fillId="5" borderId="0" xfId="0" applyNumberFormat="1" applyFill="1" applyAlignment="1">
      <alignment horizontal="left"/>
    </xf>
    <xf numFmtId="0" fontId="0" fillId="0" borderId="0" xfId="0" applyAlignment="1">
      <alignment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6" fillId="0" borderId="2" xfId="0" applyFont="1" applyBorder="1" applyAlignment="1">
      <alignment vertical="center" wrapText="1"/>
    </xf>
    <xf numFmtId="0" fontId="11" fillId="0" borderId="12" xfId="0" applyFont="1" applyBorder="1" applyAlignment="1">
      <alignment horizontal="left" vertical="top" wrapText="1"/>
    </xf>
    <xf numFmtId="0" fontId="5" fillId="2" borderId="16" xfId="0" applyFont="1" applyFill="1" applyBorder="1" applyAlignment="1">
      <alignment horizontal="center" vertical="center" wrapText="1"/>
    </xf>
    <xf numFmtId="0" fontId="1" fillId="7" borderId="14" xfId="0" applyFont="1" applyFill="1" applyBorder="1" applyAlignment="1">
      <alignment horizontal="center" vertical="center"/>
    </xf>
    <xf numFmtId="0" fontId="0" fillId="7" borderId="15" xfId="0" applyFill="1" applyBorder="1"/>
    <xf numFmtId="0" fontId="3" fillId="5" borderId="0" xfId="0" applyFont="1" applyFill="1" applyAlignment="1">
      <alignment horizontal="left" vertical="top" wrapText="1"/>
    </xf>
    <xf numFmtId="0" fontId="0" fillId="5" borderId="0" xfId="0" applyFill="1"/>
    <xf numFmtId="0" fontId="2" fillId="5" borderId="0" xfId="0" applyFont="1" applyFill="1"/>
    <xf numFmtId="0" fontId="0" fillId="0" borderId="0" xfId="0"/>
    <xf numFmtId="0" fontId="4" fillId="0" borderId="0" xfId="0" applyFont="1" applyAlignment="1">
      <alignment horizontal="left" vertical="top" wrapText="1"/>
    </xf>
    <xf numFmtId="0" fontId="9" fillId="5" borderId="14" xfId="0" applyFont="1" applyFill="1" applyBorder="1" applyAlignment="1">
      <alignment horizontal="center" vertical="top" wrapText="1"/>
    </xf>
    <xf numFmtId="0" fontId="0" fillId="0" borderId="15" xfId="0" applyBorder="1"/>
    <xf numFmtId="0" fontId="0" fillId="0" borderId="17" xfId="0" applyBorder="1"/>
    <xf numFmtId="0" fontId="1" fillId="5" borderId="14" xfId="0" applyFont="1" applyFill="1" applyBorder="1" applyAlignment="1">
      <alignment horizontal="center" vertical="center"/>
    </xf>
  </cellXfs>
  <cellStyles count="1">
    <cellStyle name="Normal" xfId="0" builtinId="0"/>
  </cellStyles>
  <dxfs count="2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wrapText="1"/>
      <border>
        <left/>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bottom" wrapText="1"/>
      <border outline="0">
        <left style="thin">
          <color indexed="64"/>
        </left>
        <right style="thin">
          <color indexed="64"/>
        </right>
        <top/>
        <bottom style="thin">
          <color indexed="64"/>
        </bottom>
      </border>
    </dxf>
    <dxf>
      <font>
        <strike val="0"/>
        <condense val="0"/>
        <extend val="0"/>
        <outline val="0"/>
        <shadow val="0"/>
        <vertAlign val="baseline"/>
        <sz val="9"/>
        <color auto="1"/>
        <name val="Calibri"/>
        <family val="2"/>
      </font>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alignment horizontal="center" vertical="center" wrapText="1"/>
      <border outline="0">
        <left style="medium">
          <color indexed="64"/>
        </left>
        <right style="thin">
          <color indexed="64"/>
        </right>
        <top style="thin">
          <color indexed="64"/>
        </top>
        <bottom style="thin">
          <color indexed="64"/>
        </bottom>
      </border>
    </dxf>
    <dxf>
      <border outline="0">
        <right style="medium">
          <color rgb="FF000000"/>
        </right>
      </border>
    </dxf>
    <dxf>
      <font>
        <strike val="0"/>
        <condense val="0"/>
        <extend val="0"/>
        <outline val="0"/>
        <shadow val="0"/>
        <vertAlign val="baseline"/>
        <sz val="9"/>
        <color auto="1"/>
        <name val="Calibri"/>
        <family val="2"/>
      </font>
      <alignment horizontal="center" vertical="center" wrapText="1"/>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outline="0">
        <left style="thin">
          <color rgb="FFD0D0D0"/>
        </left>
        <right style="thin">
          <color rgb="FFD0D0D0"/>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C6718B-55B3-495F-9534-16BE5A6D6F6E}" name="Table135" displayName="Table135" ref="A1:O43" totalsRowShown="0" headerRowDxfId="26" dataDxfId="25" tableBorderDxfId="24">
  <autoFilter ref="A1:O43" xr:uid="{BFC6718B-55B3-495F-9534-16BE5A6D6F6E}"/>
  <tableColumns count="15">
    <tableColumn id="1" xr3:uid="{DB24D597-AD6C-4CB9-94CC-DA7AE5DCF4B9}" name="Block" dataDxfId="23"/>
    <tableColumn id="2" xr3:uid="{F09FBE3B-BA38-46F4-86F8-C7F82AD59282}" name="Control ID" dataDxfId="22"/>
    <tableColumn id="3" xr3:uid="{BF02CE7F-603F-4399-9B9A-8439ECFE1DB2}" name="Control Name" dataDxfId="21"/>
    <tableColumn id="4" xr3:uid="{1ED95A06-EFE4-401E-B748-1842F8C5DF00}" name="STATUS" dataDxfId="20"/>
    <tableColumn id="5" xr3:uid="{19997345-A456-4916-ABEA-51A4DB3AB7B8}" name="What" dataDxfId="19"/>
    <tableColumn id="6" xr3:uid="{28C53E5E-2F89-4735-A255-9CEC99AE3869}" name="Why" dataDxfId="18"/>
    <tableColumn id="7" xr3:uid="{2B8453AB-19B3-46D8-AA5F-AA33265BA988}" name="How" dataDxfId="17"/>
    <tableColumn id="14" xr3:uid="{E857E4A1-B87B-4B0B-826E-4371E04F57B2}" name="What We Saw" dataDxfId="16"/>
    <tableColumn id="13" xr3:uid="{ECCBDB7C-9FB2-49D8-B1A4-D87E9448C753}" name="Why It Matters" dataDxfId="15"/>
    <tableColumn id="15" xr3:uid="{DE88E441-2476-402D-8DA2-761C909E9DF2}" name="What You Should Do " dataDxfId="14"/>
    <tableColumn id="8" xr3:uid="{12531E32-77BA-4575-A6FE-8D4B562C70FF}" name="Data Source" dataDxfId="13"/>
    <tableColumn id="9" xr3:uid="{98243CE6-A651-4AE9-8A3A-4050A598D02B}" name="Impact" dataDxfId="12">
      <calculatedColumnFormula>VLOOKUP(Table135[[#This Row],[Importance]],'Logic and Calculation'!$H$3:$J$12,3,FALSE)</calculatedColumnFormula>
    </tableColumn>
    <tableColumn id="10" xr3:uid="{48A76400-A782-46CA-8887-E08E6DC7EDF6}" name="Importance" dataDxfId="11"/>
    <tableColumn id="11" xr3:uid="{3C7C99E8-BF9C-4DA6-80F4-DAA158988119}" name="Priority" dataDxfId="10">
      <calculatedColumnFormula>VLOOKUP(Table135[[#This Row],[Importance]],'Logic and Calculation'!$H$3:$J$12,2,FALSE)</calculatedColumnFormula>
    </tableColumn>
    <tableColumn id="12" xr3:uid="{13F83985-1BAC-43FF-828A-BBEE9CC1B1FE}"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35"/>
  <sheetViews>
    <sheetView tabSelected="1" zoomScale="85" zoomScaleNormal="85" workbookViewId="0">
      <pane ySplit="8" topLeftCell="A9" activePane="bottomLeft" state="frozen"/>
      <selection pane="bottomLeft" activeCell="A12" sqref="A12"/>
    </sheetView>
  </sheetViews>
  <sheetFormatPr defaultRowHeight="14.4" x14ac:dyDescent="0.3"/>
  <cols>
    <col min="1" max="1" width="21.44140625" customWidth="1"/>
    <col min="2" max="2" width="27.5546875" customWidth="1"/>
    <col min="3" max="3" width="38.21875" customWidth="1"/>
    <col min="4" max="4" width="52" style="29" customWidth="1"/>
    <col min="5" max="6" width="50.21875" style="29" customWidth="1"/>
    <col min="7" max="7" width="36.21875" customWidth="1"/>
    <col min="8" max="8" width="21.5546875" style="23" bestFit="1" customWidth="1"/>
    <col min="9" max="9" width="26.21875" style="23" bestFit="1" customWidth="1"/>
    <col min="10" max="10" width="19.6640625" style="23" bestFit="1" customWidth="1"/>
    <col min="11" max="11" width="19.44140625" style="23" bestFit="1" customWidth="1"/>
    <col min="12" max="12" width="21.88671875" style="23" bestFit="1" customWidth="1"/>
    <col min="13" max="13" width="25" style="23" bestFit="1" customWidth="1"/>
    <col min="14" max="14" width="25.6640625" bestFit="1" customWidth="1"/>
    <col min="15" max="15" width="28.44140625" bestFit="1" customWidth="1"/>
    <col min="16" max="16" width="27.6640625" bestFit="1" customWidth="1"/>
    <col min="17" max="17" width="22.33203125" bestFit="1" customWidth="1"/>
    <col min="18" max="18" width="16.88671875" bestFit="1" customWidth="1"/>
    <col min="19" max="19" width="10.6640625" bestFit="1" customWidth="1"/>
    <col min="20" max="20" width="26.6640625" bestFit="1" customWidth="1"/>
    <col min="21" max="21" width="27.6640625" bestFit="1" customWidth="1"/>
    <col min="22" max="22" width="18.88671875" bestFit="1" customWidth="1"/>
    <col min="23" max="23" width="20" bestFit="1" customWidth="1"/>
    <col min="24" max="24" width="14.44140625" bestFit="1" customWidth="1"/>
    <col min="25" max="25" width="19.44140625" bestFit="1" customWidth="1"/>
    <col min="26" max="26" width="12.77734375" bestFit="1" customWidth="1"/>
    <col min="27" max="27" width="30.44140625" bestFit="1" customWidth="1"/>
    <col min="28" max="28" width="24.88671875" bestFit="1" customWidth="1"/>
    <col min="29" max="29" width="20.44140625" bestFit="1" customWidth="1"/>
    <col min="30" max="30" width="16.109375" bestFit="1" customWidth="1"/>
    <col min="31" max="31" width="21.5546875"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40" t="s">
        <v>0</v>
      </c>
      <c r="B1" s="41"/>
      <c r="C1" s="41"/>
      <c r="D1" s="41"/>
      <c r="E1" s="41"/>
      <c r="F1" s="41"/>
      <c r="G1" s="41"/>
    </row>
    <row r="2" spans="1:7" x14ac:dyDescent="0.3">
      <c r="A2" s="32" t="s">
        <v>48</v>
      </c>
      <c r="B2" s="23" t="s">
        <v>118</v>
      </c>
      <c r="C2" s="23"/>
      <c r="D2" s="42"/>
      <c r="E2" s="45"/>
      <c r="F2" s="45"/>
      <c r="G2" s="45"/>
    </row>
    <row r="3" spans="1:7" x14ac:dyDescent="0.3">
      <c r="A3" s="31" t="s">
        <v>45</v>
      </c>
      <c r="B3" t="s">
        <v>46</v>
      </c>
      <c r="D3" s="30"/>
      <c r="E3" s="23"/>
      <c r="F3" s="23"/>
      <c r="G3" s="23"/>
    </row>
    <row r="4" spans="1:7" ht="14.4" customHeight="1" x14ac:dyDescent="0.3">
      <c r="A4" s="32" t="s">
        <v>44</v>
      </c>
      <c r="B4" s="23" t="s">
        <v>47</v>
      </c>
      <c r="C4" s="23"/>
      <c r="D4" s="42"/>
      <c r="E4" s="43"/>
      <c r="F4" s="43"/>
      <c r="G4" s="43"/>
    </row>
    <row r="5" spans="1:7" ht="14.4" customHeight="1" x14ac:dyDescent="0.3">
      <c r="A5" s="32" t="s">
        <v>50</v>
      </c>
      <c r="B5" s="33">
        <v>46083.684884259259</v>
      </c>
      <c r="C5" s="23"/>
      <c r="D5" s="30"/>
      <c r="E5" s="23"/>
      <c r="F5" s="23"/>
      <c r="G5" s="23"/>
    </row>
    <row r="6" spans="1:7" ht="15" thickBot="1" x14ac:dyDescent="0.35">
      <c r="A6" s="23"/>
      <c r="B6" s="23"/>
      <c r="C6" s="23"/>
      <c r="D6" s="28"/>
      <c r="E6" s="28"/>
      <c r="F6" s="28"/>
      <c r="G6" s="23"/>
    </row>
    <row r="7" spans="1:7" ht="21" customHeight="1" thickBot="1" x14ac:dyDescent="0.35">
      <c r="A7" s="44" t="s">
        <v>1</v>
      </c>
      <c r="B7" s="45"/>
      <c r="C7" s="45"/>
      <c r="D7" s="50" t="str">
        <f>'Logic and Calculation'!B5</f>
        <v>Is Compliant</v>
      </c>
      <c r="E7" s="48"/>
      <c r="F7" s="48"/>
      <c r="G7" s="49"/>
    </row>
    <row r="8" spans="1:7" ht="18" customHeight="1" thickBot="1" x14ac:dyDescent="0.35">
      <c r="A8" s="44" t="s">
        <v>2</v>
      </c>
      <c r="B8" s="45"/>
      <c r="C8" s="45"/>
      <c r="D8" s="47" t="str">
        <f t="array" ref="D8">_xlfn.IFS(D7='Logic and Calculation'!L3,'Logic and Calculation'!M3,D7='Logic and Calculation'!L4,'Logic and Calculation'!M4,D7='Logic and Calculation'!L5,'Logic and Calculation'!M5)</f>
        <v>The account framework is compliant. Core governance controls are correctly configured, enabling stable optimization and scalable performance.</v>
      </c>
      <c r="E8" s="48"/>
      <c r="F8" s="48"/>
      <c r="G8" s="49"/>
    </row>
    <row r="9" spans="1:7" ht="18" customHeight="1" x14ac:dyDescent="0.3">
      <c r="A9" s="23"/>
      <c r="B9" s="23"/>
      <c r="C9" s="23"/>
      <c r="D9" s="28"/>
      <c r="E9" s="28"/>
      <c r="F9" s="28"/>
      <c r="G9" s="23"/>
    </row>
    <row r="10" spans="1:7" x14ac:dyDescent="0.3">
      <c r="A10" s="46" t="s">
        <v>3</v>
      </c>
      <c r="B10" s="45"/>
      <c r="C10" s="45"/>
      <c r="D10" s="45"/>
      <c r="E10" s="45"/>
      <c r="F10" s="45"/>
      <c r="G10" s="45"/>
    </row>
    <row r="11" spans="1:7" ht="19.95" customHeight="1" x14ac:dyDescent="0.3">
      <c r="A11" s="1" t="s">
        <v>4</v>
      </c>
      <c r="B11" s="1" t="s">
        <v>5</v>
      </c>
      <c r="C11" s="1" t="s">
        <v>6</v>
      </c>
      <c r="D11" s="1" t="s">
        <v>7</v>
      </c>
      <c r="E11" s="1" t="s">
        <v>8</v>
      </c>
      <c r="F11" s="1" t="s">
        <v>389</v>
      </c>
      <c r="G11" s="1" t="s">
        <v>9</v>
      </c>
    </row>
    <row r="12" spans="1:7" ht="44.4" customHeight="1" x14ac:dyDescent="0.3">
      <c r="A12" s="24" t="str" cm="1">
        <f t="array" ref="A12">_xlfn.LET(
  _xlpm.id, Framework_Reference!B2:B43,
  _xlpm.name, Framework_Reference!C2:C43,
  _xlpm.st, Framework_Reference!D2:D43,
  _xlpm.saw, Framework_Reference!H2:H43,
  _xlpm.matter, Framework_Reference!I2:I43,
  _xlpm.wysd, Framework_Reference!J2:J43,
  _xlpm.impact, Framework_Reference!M2:M43,
  _xlpm.data, _xlfn.HSTACK(_xlpm.id, _xlpm.name, _xlpm.st, _xlpm.saw, _xlpm.matter, _xlpm.wysd, _xlpm.impact),
  _xlfn._xlws.FILTER(_xlpm.data, _xlpm.st&lt;&gt;"OK", "No findings — all controls OK")
)</f>
        <v>No findings — all controls OK</v>
      </c>
      <c r="B12" s="24"/>
      <c r="C12" s="25"/>
      <c r="D12" s="26"/>
      <c r="E12" s="26"/>
      <c r="F12" s="26"/>
      <c r="G12" s="24"/>
    </row>
    <row r="13" spans="1:7" ht="44.4" customHeight="1" x14ac:dyDescent="0.3">
      <c r="A13" s="24"/>
      <c r="B13" s="24"/>
      <c r="C13" s="22"/>
      <c r="D13" s="26"/>
      <c r="E13" s="26"/>
      <c r="F13" s="26"/>
      <c r="G13" s="24"/>
    </row>
    <row r="14" spans="1:7" ht="44.4" customHeight="1" x14ac:dyDescent="0.3">
      <c r="A14" s="24"/>
      <c r="B14" s="24"/>
      <c r="C14" s="22"/>
      <c r="D14" s="26"/>
      <c r="E14" s="26"/>
      <c r="F14" s="26"/>
      <c r="G14" s="24"/>
    </row>
    <row r="15" spans="1:7" ht="44.4" customHeight="1" x14ac:dyDescent="0.3">
      <c r="A15" s="24"/>
      <c r="B15" s="24"/>
      <c r="C15" s="22"/>
      <c r="D15" s="26"/>
      <c r="E15" s="26"/>
      <c r="F15" s="26"/>
      <c r="G15" s="24"/>
    </row>
    <row r="16" spans="1:7" ht="44.4" customHeight="1" x14ac:dyDescent="0.3">
      <c r="A16" s="24"/>
      <c r="B16" s="24"/>
      <c r="C16" s="22"/>
      <c r="D16" s="26"/>
      <c r="E16" s="26"/>
      <c r="F16" s="26"/>
      <c r="G16" s="24"/>
    </row>
    <row r="17" spans="1:7" ht="44.4" customHeight="1" x14ac:dyDescent="0.3">
      <c r="A17" s="24"/>
      <c r="B17" s="24"/>
      <c r="C17" s="22"/>
      <c r="D17" s="26"/>
      <c r="E17" s="26"/>
      <c r="F17" s="26"/>
      <c r="G17" s="24"/>
    </row>
    <row r="18" spans="1:7" ht="44.4" customHeight="1" x14ac:dyDescent="0.3">
      <c r="A18" s="24"/>
      <c r="B18" s="24"/>
      <c r="C18" s="22"/>
      <c r="D18" s="26"/>
      <c r="E18" s="26"/>
      <c r="F18" s="26"/>
      <c r="G18" s="24"/>
    </row>
    <row r="19" spans="1:7" ht="44.4" customHeight="1" x14ac:dyDescent="0.3">
      <c r="A19" s="24"/>
      <c r="B19" s="24"/>
      <c r="C19" s="22"/>
      <c r="D19" s="26"/>
      <c r="E19" s="26"/>
      <c r="F19" s="26"/>
      <c r="G19" s="24"/>
    </row>
    <row r="20" spans="1:7" ht="44.4" customHeight="1" x14ac:dyDescent="0.3">
      <c r="A20" s="24"/>
      <c r="B20" s="24"/>
      <c r="C20" s="22"/>
      <c r="D20" s="26"/>
      <c r="E20" s="26"/>
      <c r="F20" s="26"/>
      <c r="G20" s="24"/>
    </row>
    <row r="21" spans="1:7" ht="44.4" customHeight="1" x14ac:dyDescent="0.3">
      <c r="A21" s="24"/>
      <c r="B21" s="24"/>
      <c r="C21" s="22"/>
      <c r="D21" s="26"/>
      <c r="E21" s="26"/>
      <c r="F21" s="26"/>
      <c r="G21" s="24"/>
    </row>
    <row r="22" spans="1:7" ht="44.4" customHeight="1" x14ac:dyDescent="0.3">
      <c r="A22" s="24"/>
      <c r="B22" s="24"/>
      <c r="C22" s="22"/>
      <c r="D22" s="26"/>
      <c r="E22" s="26"/>
      <c r="F22" s="26"/>
      <c r="G22" s="24"/>
    </row>
    <row r="23" spans="1:7" ht="44.4" customHeight="1" x14ac:dyDescent="0.3">
      <c r="A23" s="24"/>
      <c r="B23" s="24"/>
      <c r="C23" s="22"/>
      <c r="D23" s="26"/>
      <c r="E23" s="26"/>
      <c r="F23" s="26"/>
      <c r="G23" s="24"/>
    </row>
    <row r="24" spans="1:7" ht="44.4" customHeight="1" x14ac:dyDescent="0.3">
      <c r="A24" s="24"/>
      <c r="B24" s="24"/>
      <c r="C24" s="22"/>
      <c r="D24" s="26"/>
      <c r="E24" s="26"/>
      <c r="F24" s="26"/>
      <c r="G24" s="24"/>
    </row>
    <row r="25" spans="1:7" ht="44.4" customHeight="1" x14ac:dyDescent="0.3">
      <c r="A25" s="24"/>
      <c r="B25" s="24"/>
      <c r="C25" s="22"/>
      <c r="D25" s="26"/>
      <c r="E25" s="26"/>
      <c r="F25" s="26"/>
      <c r="G25" s="24"/>
    </row>
    <row r="26" spans="1:7" ht="44.4" customHeight="1" x14ac:dyDescent="0.3">
      <c r="A26" s="23"/>
      <c r="B26" s="23"/>
      <c r="C26" s="22"/>
      <c r="D26" s="28"/>
      <c r="E26" s="28"/>
      <c r="F26" s="28"/>
      <c r="G26" s="23"/>
    </row>
    <row r="27" spans="1:7" ht="44.4" customHeight="1" x14ac:dyDescent="0.3">
      <c r="A27" s="23"/>
      <c r="B27" s="23"/>
      <c r="C27" s="22"/>
      <c r="D27" s="28"/>
      <c r="E27" s="28"/>
      <c r="F27" s="28"/>
      <c r="G27" s="23"/>
    </row>
    <row r="28" spans="1:7" ht="44.4" customHeight="1" x14ac:dyDescent="0.3">
      <c r="A28" s="23"/>
      <c r="B28" s="23"/>
      <c r="C28" s="22"/>
      <c r="D28" s="28"/>
      <c r="E28" s="28"/>
      <c r="F28" s="28"/>
      <c r="G28" s="23"/>
    </row>
    <row r="29" spans="1:7" ht="44.4" customHeight="1" x14ac:dyDescent="0.3">
      <c r="A29" s="23"/>
      <c r="B29" s="23"/>
      <c r="C29" s="22"/>
      <c r="D29" s="28"/>
      <c r="E29" s="28"/>
      <c r="F29" s="28"/>
      <c r="G29" s="23"/>
    </row>
    <row r="30" spans="1:7" ht="44.4" customHeight="1" x14ac:dyDescent="0.3">
      <c r="A30" s="23"/>
      <c r="B30" s="23"/>
      <c r="C30" s="22"/>
      <c r="D30" s="28"/>
      <c r="E30" s="28"/>
      <c r="F30" s="28"/>
      <c r="G30" s="23"/>
    </row>
    <row r="31" spans="1:7" ht="44.4" customHeight="1" x14ac:dyDescent="0.3">
      <c r="C31" s="22"/>
    </row>
    <row r="32" spans="1:7" ht="44.4" customHeight="1" x14ac:dyDescent="0.3">
      <c r="C32" s="22"/>
    </row>
    <row r="33" spans="3:3" ht="44.4" customHeight="1" x14ac:dyDescent="0.3">
      <c r="C33" s="22"/>
    </row>
    <row r="34" spans="3:3" ht="44.4" customHeight="1" x14ac:dyDescent="0.3">
      <c r="C34" s="22"/>
    </row>
    <row r="35" spans="3:3" ht="44.4" customHeight="1" x14ac:dyDescent="0.3">
      <c r="C35" s="22"/>
    </row>
  </sheetData>
  <mergeCells count="8">
    <mergeCell ref="A1:G1"/>
    <mergeCell ref="D4:G4"/>
    <mergeCell ref="A7:C7"/>
    <mergeCell ref="A10:G10"/>
    <mergeCell ref="D8:G8"/>
    <mergeCell ref="A8:C8"/>
    <mergeCell ref="D2:G2"/>
    <mergeCell ref="D7:G7"/>
  </mergeCells>
  <conditionalFormatting sqref="C12:C35">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Is Compliant">
      <formula>NOT(ISERROR(SEARCH("Is Compliant",D7)))</formula>
    </cfRule>
    <cfRule type="containsText" dxfId="4" priority="2" operator="containsText" text="Need Improvement">
      <formula>NOT(ISERROR(SEARCH("Need Improvement",D7)))</formula>
    </cfRule>
    <cfRule type="containsText" dxfId="3" priority="3" operator="containsText" text="Non-Compliant">
      <formula>NOT(ISERROR(SEARCH("Non-Compliant",D7)))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3DAF-6B3E-4C4F-9B1C-C8AAA0BE603F}">
  <dimension ref="A1:O43"/>
  <sheetViews>
    <sheetView workbookViewId="0">
      <pane ySplit="1" topLeftCell="A2" activePane="bottomLeft" state="frozen"/>
      <selection pane="bottomLeft" activeCell="E3" sqref="E3"/>
    </sheetView>
  </sheetViews>
  <sheetFormatPr defaultRowHeight="14.4" x14ac:dyDescent="0.3"/>
  <cols>
    <col min="1" max="1" width="22" style="21" customWidth="1"/>
    <col min="2" max="2" width="10.5546875" style="21" customWidth="1"/>
    <col min="3" max="3" width="34.21875" style="21" customWidth="1"/>
    <col min="4" max="4" width="8.44140625" style="16" customWidth="1"/>
    <col min="5" max="6" width="38" customWidth="1"/>
    <col min="7" max="7" width="52.21875" customWidth="1"/>
    <col min="8" max="10" width="47.88671875" customWidth="1"/>
    <col min="11" max="11" width="13.5546875" customWidth="1"/>
    <col min="12" max="12" width="10" customWidth="1"/>
    <col min="13" max="13" width="11.6640625" customWidth="1"/>
    <col min="14" max="14" width="22" customWidth="1"/>
    <col min="15" max="15" width="39.44140625" customWidth="1"/>
  </cols>
  <sheetData>
    <row r="1" spans="1:15" ht="28.2" customHeight="1" thickBot="1" x14ac:dyDescent="0.35">
      <c r="A1" s="7" t="s">
        <v>10</v>
      </c>
      <c r="B1" s="10" t="s">
        <v>4</v>
      </c>
      <c r="C1" s="11" t="s">
        <v>5</v>
      </c>
      <c r="D1" s="17" t="s">
        <v>11</v>
      </c>
      <c r="E1" s="11" t="s">
        <v>12</v>
      </c>
      <c r="F1" s="11" t="s">
        <v>13</v>
      </c>
      <c r="G1" s="11" t="s">
        <v>14</v>
      </c>
      <c r="H1" s="1" t="s">
        <v>7</v>
      </c>
      <c r="I1" s="1" t="s">
        <v>8</v>
      </c>
      <c r="J1" s="39" t="s">
        <v>389</v>
      </c>
      <c r="K1" s="11" t="s">
        <v>15</v>
      </c>
      <c r="L1" s="11" t="s">
        <v>9</v>
      </c>
      <c r="M1" s="11" t="s">
        <v>16</v>
      </c>
      <c r="N1" s="11" t="s">
        <v>17</v>
      </c>
      <c r="O1" s="13" t="s">
        <v>18</v>
      </c>
    </row>
    <row r="2" spans="1:15" ht="44.4" customHeight="1" x14ac:dyDescent="0.3">
      <c r="A2" s="19" t="s">
        <v>19</v>
      </c>
      <c r="B2" s="8" t="s">
        <v>347</v>
      </c>
      <c r="C2" s="8" t="s">
        <v>51</v>
      </c>
      <c r="D2" s="18" t="s">
        <v>20</v>
      </c>
      <c r="E2" s="9" t="s">
        <v>52</v>
      </c>
      <c r="F2" s="9" t="s">
        <v>53</v>
      </c>
      <c r="G2" s="9" t="s">
        <v>54</v>
      </c>
      <c r="H2" s="34" t="s">
        <v>119</v>
      </c>
      <c r="I2" s="34" t="s">
        <v>120</v>
      </c>
      <c r="J2" s="34"/>
      <c r="K2" s="9" t="s">
        <v>126</v>
      </c>
      <c r="L2" s="4" t="str">
        <f>VLOOKUP(Table135[[#This Row],[Importance]],'Logic and Calculation'!$H$3:$J$12,3,FALSE)</f>
        <v>High</v>
      </c>
      <c r="M2" s="8">
        <v>8</v>
      </c>
      <c r="N2" s="4">
        <f>VLOOKUP(Table135[[#This Row],[Importance]],'Logic and Calculation'!$H$3:$J$12,2,FALSE)</f>
        <v>-13</v>
      </c>
      <c r="O2" s="14"/>
    </row>
    <row r="3" spans="1:15" ht="44.4" customHeight="1" x14ac:dyDescent="0.3">
      <c r="A3" s="20" t="s">
        <v>19</v>
      </c>
      <c r="B3" s="8" t="s">
        <v>348</v>
      </c>
      <c r="C3" s="4" t="s">
        <v>55</v>
      </c>
      <c r="D3" s="18" t="s">
        <v>20</v>
      </c>
      <c r="E3" s="3" t="s">
        <v>56</v>
      </c>
      <c r="F3" s="3" t="s">
        <v>57</v>
      </c>
      <c r="G3" s="3" t="s">
        <v>127</v>
      </c>
      <c r="H3" s="34" t="s">
        <v>129</v>
      </c>
      <c r="I3" s="34" t="s">
        <v>121</v>
      </c>
      <c r="J3" s="34"/>
      <c r="K3" s="3" t="s">
        <v>128</v>
      </c>
      <c r="L3" s="4" t="str">
        <f>VLOOKUP(Table135[[#This Row],[Importance]],'Logic and Calculation'!$H$3:$J$12,3,FALSE)</f>
        <v>Medium</v>
      </c>
      <c r="M3" s="4">
        <v>6</v>
      </c>
      <c r="N3" s="4">
        <f>VLOOKUP(Table135[[#This Row],[Importance]],'Logic and Calculation'!$H$3:$J$12,2,FALSE)</f>
        <v>-9</v>
      </c>
      <c r="O3" s="15"/>
    </row>
    <row r="4" spans="1:15" ht="44.4" customHeight="1" x14ac:dyDescent="0.3">
      <c r="A4" s="20" t="s">
        <v>19</v>
      </c>
      <c r="B4" s="8" t="s">
        <v>349</v>
      </c>
      <c r="C4" s="4" t="s">
        <v>58</v>
      </c>
      <c r="D4" s="18" t="s">
        <v>20</v>
      </c>
      <c r="E4" s="3" t="s">
        <v>59</v>
      </c>
      <c r="F4" s="3" t="s">
        <v>60</v>
      </c>
      <c r="G4" s="3" t="s">
        <v>61</v>
      </c>
      <c r="H4" s="34" t="s">
        <v>131</v>
      </c>
      <c r="I4" s="34" t="s">
        <v>132</v>
      </c>
      <c r="J4" s="34"/>
      <c r="K4" s="3" t="s">
        <v>130</v>
      </c>
      <c r="L4" s="4" t="str">
        <f>VLOOKUP(Table135[[#This Row],[Importance]],'Logic and Calculation'!$H$3:$J$12,3,FALSE)</f>
        <v>High</v>
      </c>
      <c r="M4" s="4">
        <v>8</v>
      </c>
      <c r="N4" s="4">
        <f>VLOOKUP(Table135[[#This Row],[Importance]],'Logic and Calculation'!$H$3:$J$12,2,FALSE)</f>
        <v>-13</v>
      </c>
      <c r="O4" s="15"/>
    </row>
    <row r="5" spans="1:15" ht="44.4" customHeight="1" x14ac:dyDescent="0.3">
      <c r="A5" s="20" t="s">
        <v>19</v>
      </c>
      <c r="B5" s="8" t="s">
        <v>350</v>
      </c>
      <c r="C5" s="4" t="s">
        <v>62</v>
      </c>
      <c r="D5" s="18" t="s">
        <v>20</v>
      </c>
      <c r="E5" s="3" t="s">
        <v>63</v>
      </c>
      <c r="F5" s="3" t="s">
        <v>64</v>
      </c>
      <c r="G5" s="3" t="s">
        <v>65</v>
      </c>
      <c r="H5" s="34" t="s">
        <v>122</v>
      </c>
      <c r="I5" s="34" t="s">
        <v>134</v>
      </c>
      <c r="J5" s="34"/>
      <c r="K5" s="3" t="s">
        <v>133</v>
      </c>
      <c r="L5" s="4" t="str">
        <f>VLOOKUP(Table135[[#This Row],[Importance]],'Logic and Calculation'!$H$3:$J$12,3,FALSE)</f>
        <v>High</v>
      </c>
      <c r="M5" s="4">
        <v>8</v>
      </c>
      <c r="N5" s="4">
        <f>VLOOKUP(Table135[[#This Row],[Importance]],'Logic and Calculation'!$H$3:$J$12,2,FALSE)</f>
        <v>-13</v>
      </c>
      <c r="O5" s="15"/>
    </row>
    <row r="6" spans="1:15" ht="44.4" customHeight="1" x14ac:dyDescent="0.3">
      <c r="A6" s="20" t="s">
        <v>19</v>
      </c>
      <c r="B6" s="8" t="s">
        <v>351</v>
      </c>
      <c r="C6" s="4" t="s">
        <v>66</v>
      </c>
      <c r="D6" s="18" t="s">
        <v>20</v>
      </c>
      <c r="E6" s="3" t="s">
        <v>135</v>
      </c>
      <c r="F6" s="3" t="s">
        <v>136</v>
      </c>
      <c r="G6" s="3" t="s">
        <v>137</v>
      </c>
      <c r="H6" s="34" t="s">
        <v>139</v>
      </c>
      <c r="I6" s="34" t="s">
        <v>140</v>
      </c>
      <c r="J6" s="34"/>
      <c r="K6" s="3" t="s">
        <v>138</v>
      </c>
      <c r="L6" s="4" t="str">
        <f>VLOOKUP(Table135[[#This Row],[Importance]],'Logic and Calculation'!$H$3:$J$12,3,FALSE)</f>
        <v>Medium</v>
      </c>
      <c r="M6" s="4">
        <v>6</v>
      </c>
      <c r="N6" s="4">
        <f>VLOOKUP(Table135[[#This Row],[Importance]],'Logic and Calculation'!$H$3:$J$12,2,FALSE)</f>
        <v>-9</v>
      </c>
      <c r="O6" s="15"/>
    </row>
    <row r="7" spans="1:15" ht="44.4" customHeight="1" x14ac:dyDescent="0.3">
      <c r="A7" s="20" t="s">
        <v>19</v>
      </c>
      <c r="B7" s="8" t="s">
        <v>352</v>
      </c>
      <c r="C7" s="4" t="s">
        <v>67</v>
      </c>
      <c r="D7" s="18" t="s">
        <v>20</v>
      </c>
      <c r="E7" s="3" t="s">
        <v>68</v>
      </c>
      <c r="F7" s="3" t="s">
        <v>69</v>
      </c>
      <c r="G7" s="3" t="s">
        <v>141</v>
      </c>
      <c r="H7" s="34" t="s">
        <v>143</v>
      </c>
      <c r="I7" s="34" t="s">
        <v>144</v>
      </c>
      <c r="J7" s="34"/>
      <c r="K7" s="3" t="s">
        <v>142</v>
      </c>
      <c r="L7" s="4" t="str">
        <f>VLOOKUP(Table135[[#This Row],[Importance]],'Logic and Calculation'!$H$3:$J$12,3,FALSE)</f>
        <v>Medium</v>
      </c>
      <c r="M7" s="4">
        <v>5</v>
      </c>
      <c r="N7" s="4">
        <f>VLOOKUP(Table135[[#This Row],[Importance]],'Logic and Calculation'!$H$3:$J$12,2,FALSE)</f>
        <v>-7</v>
      </c>
      <c r="O7" s="15"/>
    </row>
    <row r="8" spans="1:15" ht="44.4" customHeight="1" x14ac:dyDescent="0.3">
      <c r="A8" s="20" t="s">
        <v>19</v>
      </c>
      <c r="B8" s="8" t="s">
        <v>353</v>
      </c>
      <c r="C8" s="4" t="s">
        <v>145</v>
      </c>
      <c r="D8" s="18" t="s">
        <v>20</v>
      </c>
      <c r="E8" s="3" t="s">
        <v>146</v>
      </c>
      <c r="F8" s="3" t="s">
        <v>147</v>
      </c>
      <c r="G8" s="3" t="s">
        <v>148</v>
      </c>
      <c r="H8" s="34" t="s">
        <v>150</v>
      </c>
      <c r="I8" s="34" t="s">
        <v>151</v>
      </c>
      <c r="J8" s="34"/>
      <c r="K8" s="3" t="s">
        <v>149</v>
      </c>
      <c r="L8" s="4" t="str">
        <f>VLOOKUP(Table135[[#This Row],[Importance]],'Logic and Calculation'!$H$3:$J$12,3,FALSE)</f>
        <v>High</v>
      </c>
      <c r="M8" s="4">
        <v>8</v>
      </c>
      <c r="N8" s="4">
        <f>VLOOKUP(Table135[[#This Row],[Importance]],'Logic and Calculation'!$H$3:$J$12,2,FALSE)</f>
        <v>-13</v>
      </c>
      <c r="O8" s="15"/>
    </row>
    <row r="9" spans="1:15" ht="44.4" customHeight="1" x14ac:dyDescent="0.3">
      <c r="A9" s="20" t="s">
        <v>152</v>
      </c>
      <c r="B9" s="8" t="s">
        <v>354</v>
      </c>
      <c r="C9" s="4" t="s">
        <v>70</v>
      </c>
      <c r="D9" s="18" t="s">
        <v>20</v>
      </c>
      <c r="E9" s="3" t="s">
        <v>153</v>
      </c>
      <c r="F9" s="3" t="s">
        <v>154</v>
      </c>
      <c r="G9" s="3" t="s">
        <v>155</v>
      </c>
      <c r="H9" s="34" t="s">
        <v>157</v>
      </c>
      <c r="I9" s="34" t="s">
        <v>158</v>
      </c>
      <c r="J9" s="34"/>
      <c r="K9" s="3" t="s">
        <v>156</v>
      </c>
      <c r="L9" s="4" t="str">
        <f>VLOOKUP(Table135[[#This Row],[Importance]],'Logic and Calculation'!$H$3:$J$12,3,FALSE)</f>
        <v>High</v>
      </c>
      <c r="M9" s="4">
        <v>8</v>
      </c>
      <c r="N9" s="4">
        <f>VLOOKUP(Table135[[#This Row],[Importance]],'Logic and Calculation'!$H$3:$J$12,2,FALSE)</f>
        <v>-13</v>
      </c>
      <c r="O9" s="15"/>
    </row>
    <row r="10" spans="1:15" ht="44.4" customHeight="1" x14ac:dyDescent="0.3">
      <c r="A10" s="20" t="s">
        <v>152</v>
      </c>
      <c r="B10" s="8" t="s">
        <v>355</v>
      </c>
      <c r="C10" s="4" t="s">
        <v>159</v>
      </c>
      <c r="D10" s="18" t="s">
        <v>20</v>
      </c>
      <c r="E10" s="3" t="s">
        <v>160</v>
      </c>
      <c r="F10" s="3" t="s">
        <v>161</v>
      </c>
      <c r="G10" s="3" t="s">
        <v>162</v>
      </c>
      <c r="H10" s="34" t="s">
        <v>164</v>
      </c>
      <c r="I10" s="34" t="s">
        <v>165</v>
      </c>
      <c r="J10" s="34"/>
      <c r="K10" s="3" t="s">
        <v>163</v>
      </c>
      <c r="L10" s="4" t="str">
        <f>VLOOKUP(Table135[[#This Row],[Importance]],'Logic and Calculation'!$H$3:$J$12,3,FALSE)</f>
        <v>High</v>
      </c>
      <c r="M10" s="4">
        <v>8</v>
      </c>
      <c r="N10" s="4">
        <f>VLOOKUP(Table135[[#This Row],[Importance]],'Logic and Calculation'!$H$3:$J$12,2,FALSE)</f>
        <v>-13</v>
      </c>
      <c r="O10" s="15"/>
    </row>
    <row r="11" spans="1:15" ht="44.4" customHeight="1" x14ac:dyDescent="0.3">
      <c r="A11" s="20" t="s">
        <v>152</v>
      </c>
      <c r="B11" s="8" t="s">
        <v>356</v>
      </c>
      <c r="C11" s="4" t="s">
        <v>71</v>
      </c>
      <c r="D11" s="18" t="s">
        <v>20</v>
      </c>
      <c r="E11" s="3" t="s">
        <v>72</v>
      </c>
      <c r="F11" s="3" t="s">
        <v>166</v>
      </c>
      <c r="G11" s="3" t="s">
        <v>167</v>
      </c>
      <c r="H11" s="34" t="s">
        <v>169</v>
      </c>
      <c r="I11" s="34" t="s">
        <v>170</v>
      </c>
      <c r="J11" s="34"/>
      <c r="K11" s="3" t="s">
        <v>168</v>
      </c>
      <c r="L11" s="4" t="str">
        <f>VLOOKUP(Table135[[#This Row],[Importance]],'Logic and Calculation'!$H$3:$J$12,3,FALSE)</f>
        <v>Critical</v>
      </c>
      <c r="M11" s="4">
        <v>10</v>
      </c>
      <c r="N11" s="4">
        <f>VLOOKUP(Table135[[#This Row],[Importance]],'Logic and Calculation'!$H$3:$J$12,2,FALSE)</f>
        <v>-18</v>
      </c>
      <c r="O11" s="15"/>
    </row>
    <row r="12" spans="1:15" ht="44.4" customHeight="1" x14ac:dyDescent="0.3">
      <c r="A12" s="20" t="s">
        <v>152</v>
      </c>
      <c r="B12" s="8" t="s">
        <v>357</v>
      </c>
      <c r="C12" s="4" t="s">
        <v>73</v>
      </c>
      <c r="D12" s="18" t="s">
        <v>20</v>
      </c>
      <c r="E12" s="3" t="s">
        <v>74</v>
      </c>
      <c r="F12" s="3" t="s">
        <v>171</v>
      </c>
      <c r="G12" s="3" t="s">
        <v>172</v>
      </c>
      <c r="H12" s="34" t="s">
        <v>174</v>
      </c>
      <c r="I12" s="34" t="s">
        <v>175</v>
      </c>
      <c r="J12" s="34"/>
      <c r="K12" s="3" t="s">
        <v>173</v>
      </c>
      <c r="L12" s="4" t="str">
        <f>VLOOKUP(Table135[[#This Row],[Importance]],'Logic and Calculation'!$H$3:$J$12,3,FALSE)</f>
        <v>High</v>
      </c>
      <c r="M12" s="4">
        <v>8</v>
      </c>
      <c r="N12" s="4">
        <f>VLOOKUP(Table135[[#This Row],[Importance]],'Logic and Calculation'!$H$3:$J$12,2,FALSE)</f>
        <v>-13</v>
      </c>
      <c r="O12" s="15"/>
    </row>
    <row r="13" spans="1:15" ht="44.4" customHeight="1" x14ac:dyDescent="0.3">
      <c r="A13" s="20" t="s">
        <v>152</v>
      </c>
      <c r="B13" s="8" t="s">
        <v>358</v>
      </c>
      <c r="C13" s="4" t="s">
        <v>75</v>
      </c>
      <c r="D13" s="18" t="s">
        <v>20</v>
      </c>
      <c r="E13" s="3" t="s">
        <v>76</v>
      </c>
      <c r="F13" s="3" t="s">
        <v>176</v>
      </c>
      <c r="G13" s="3" t="s">
        <v>177</v>
      </c>
      <c r="H13" s="34" t="s">
        <v>179</v>
      </c>
      <c r="I13" s="34" t="s">
        <v>180</v>
      </c>
      <c r="J13" s="34"/>
      <c r="K13" s="3" t="s">
        <v>178</v>
      </c>
      <c r="L13" s="4" t="str">
        <f>VLOOKUP(Table135[[#This Row],[Importance]],'Logic and Calculation'!$H$3:$J$12,3,FALSE)</f>
        <v>High</v>
      </c>
      <c r="M13" s="4">
        <v>8</v>
      </c>
      <c r="N13" s="4">
        <f>VLOOKUP(Table135[[#This Row],[Importance]],'Logic and Calculation'!$H$3:$J$12,2,FALSE)</f>
        <v>-13</v>
      </c>
      <c r="O13" s="15"/>
    </row>
    <row r="14" spans="1:15" ht="44.4" customHeight="1" x14ac:dyDescent="0.3">
      <c r="A14" s="20" t="s">
        <v>152</v>
      </c>
      <c r="B14" s="8" t="s">
        <v>359</v>
      </c>
      <c r="C14" s="4" t="s">
        <v>77</v>
      </c>
      <c r="D14" s="18" t="s">
        <v>20</v>
      </c>
      <c r="E14" s="3" t="s">
        <v>181</v>
      </c>
      <c r="F14" s="3" t="s">
        <v>182</v>
      </c>
      <c r="G14" s="3" t="s">
        <v>183</v>
      </c>
      <c r="H14" s="34" t="s">
        <v>185</v>
      </c>
      <c r="I14" s="34" t="s">
        <v>186</v>
      </c>
      <c r="J14" s="34"/>
      <c r="K14" s="3" t="s">
        <v>184</v>
      </c>
      <c r="L14" s="4" t="str">
        <f>VLOOKUP(Table135[[#This Row],[Importance]],'Logic and Calculation'!$H$3:$J$12,3,FALSE)</f>
        <v>Medium</v>
      </c>
      <c r="M14" s="4">
        <v>7</v>
      </c>
      <c r="N14" s="4">
        <f>VLOOKUP(Table135[[#This Row],[Importance]],'Logic and Calculation'!$H$3:$J$12,2,FALSE)</f>
        <v>-11</v>
      </c>
      <c r="O14" s="15"/>
    </row>
    <row r="15" spans="1:15" ht="44.4" customHeight="1" x14ac:dyDescent="0.3">
      <c r="A15" s="20" t="s">
        <v>111</v>
      </c>
      <c r="B15" s="8" t="s">
        <v>360</v>
      </c>
      <c r="C15" s="4" t="s">
        <v>78</v>
      </c>
      <c r="D15" s="18" t="s">
        <v>20</v>
      </c>
      <c r="E15" s="3" t="s">
        <v>187</v>
      </c>
      <c r="F15" s="3" t="s">
        <v>188</v>
      </c>
      <c r="G15" s="3" t="s">
        <v>79</v>
      </c>
      <c r="H15" s="34" t="s">
        <v>190</v>
      </c>
      <c r="I15" s="34" t="s">
        <v>191</v>
      </c>
      <c r="J15" s="34"/>
      <c r="K15" s="3" t="s">
        <v>189</v>
      </c>
      <c r="L15" s="4" t="str">
        <f>VLOOKUP(Table135[[#This Row],[Importance]],'Logic and Calculation'!$H$3:$J$12,3,FALSE)</f>
        <v>Critical</v>
      </c>
      <c r="M15" s="4">
        <v>10</v>
      </c>
      <c r="N15" s="4">
        <f>VLOOKUP(Table135[[#This Row],[Importance]],'Logic and Calculation'!$H$3:$J$12,2,FALSE)</f>
        <v>-18</v>
      </c>
      <c r="O15" s="15"/>
    </row>
    <row r="16" spans="1:15" ht="44.4" customHeight="1" x14ac:dyDescent="0.3">
      <c r="A16" s="20" t="s">
        <v>111</v>
      </c>
      <c r="B16" s="8" t="s">
        <v>361</v>
      </c>
      <c r="C16" s="4" t="s">
        <v>80</v>
      </c>
      <c r="D16" s="18" t="s">
        <v>20</v>
      </c>
      <c r="E16" s="3" t="s">
        <v>192</v>
      </c>
      <c r="F16" s="3" t="s">
        <v>193</v>
      </c>
      <c r="G16" s="3" t="s">
        <v>194</v>
      </c>
      <c r="H16" s="34" t="s">
        <v>123</v>
      </c>
      <c r="I16" s="34" t="s">
        <v>196</v>
      </c>
      <c r="J16" s="34"/>
      <c r="K16" s="3" t="s">
        <v>195</v>
      </c>
      <c r="L16" s="4" t="str">
        <f>VLOOKUP(Table135[[#This Row],[Importance]],'Logic and Calculation'!$H$3:$J$12,3,FALSE)</f>
        <v>Medium</v>
      </c>
      <c r="M16" s="4">
        <v>6</v>
      </c>
      <c r="N16" s="4">
        <f>VLOOKUP(Table135[[#This Row],[Importance]],'Logic and Calculation'!$H$3:$J$12,2,FALSE)</f>
        <v>-9</v>
      </c>
      <c r="O16" s="15"/>
    </row>
    <row r="17" spans="1:15" ht="44.4" customHeight="1" x14ac:dyDescent="0.3">
      <c r="A17" s="20" t="s">
        <v>111</v>
      </c>
      <c r="B17" s="8" t="s">
        <v>362</v>
      </c>
      <c r="C17" s="4" t="s">
        <v>81</v>
      </c>
      <c r="D17" s="18" t="s">
        <v>20</v>
      </c>
      <c r="E17" s="3" t="s">
        <v>82</v>
      </c>
      <c r="F17" s="3" t="s">
        <v>197</v>
      </c>
      <c r="G17" s="3" t="s">
        <v>198</v>
      </c>
      <c r="H17" s="34" t="s">
        <v>200</v>
      </c>
      <c r="I17" s="34" t="s">
        <v>201</v>
      </c>
      <c r="J17" s="34"/>
      <c r="K17" s="3" t="s">
        <v>199</v>
      </c>
      <c r="L17" s="4" t="str">
        <f>VLOOKUP(Table135[[#This Row],[Importance]],'Logic and Calculation'!$H$3:$J$12,3,FALSE)</f>
        <v>High</v>
      </c>
      <c r="M17" s="4">
        <v>8</v>
      </c>
      <c r="N17" s="4">
        <f>VLOOKUP(Table135[[#This Row],[Importance]],'Logic and Calculation'!$H$3:$J$12,2,FALSE)</f>
        <v>-13</v>
      </c>
      <c r="O17" s="15"/>
    </row>
    <row r="18" spans="1:15" ht="44.4" customHeight="1" x14ac:dyDescent="0.3">
      <c r="A18" s="20" t="s">
        <v>111</v>
      </c>
      <c r="B18" s="8" t="s">
        <v>363</v>
      </c>
      <c r="C18" s="4" t="s">
        <v>83</v>
      </c>
      <c r="D18" s="18" t="s">
        <v>20</v>
      </c>
      <c r="E18" s="3" t="s">
        <v>84</v>
      </c>
      <c r="F18" s="3" t="s">
        <v>202</v>
      </c>
      <c r="G18" s="3" t="s">
        <v>85</v>
      </c>
      <c r="H18" s="34" t="s">
        <v>204</v>
      </c>
      <c r="I18" s="34" t="s">
        <v>205</v>
      </c>
      <c r="J18" s="34"/>
      <c r="K18" s="3" t="s">
        <v>203</v>
      </c>
      <c r="L18" s="4" t="str">
        <f>VLOOKUP(Table135[[#This Row],[Importance]],'Logic and Calculation'!$H$3:$J$12,3,FALSE)</f>
        <v>High</v>
      </c>
      <c r="M18" s="4">
        <v>8</v>
      </c>
      <c r="N18" s="4">
        <f>VLOOKUP(Table135[[#This Row],[Importance]],'Logic and Calculation'!$H$3:$J$12,2,FALSE)</f>
        <v>-13</v>
      </c>
      <c r="O18" s="15"/>
    </row>
    <row r="19" spans="1:15" ht="44.4" customHeight="1" thickBot="1" x14ac:dyDescent="0.35">
      <c r="A19" s="20" t="s">
        <v>111</v>
      </c>
      <c r="B19" s="8" t="s">
        <v>364</v>
      </c>
      <c r="C19" s="4" t="s">
        <v>86</v>
      </c>
      <c r="D19" s="18" t="s">
        <v>20</v>
      </c>
      <c r="E19" s="6" t="s">
        <v>87</v>
      </c>
      <c r="F19" s="6" t="s">
        <v>206</v>
      </c>
      <c r="G19" s="6" t="s">
        <v>207</v>
      </c>
      <c r="H19" s="34" t="s">
        <v>209</v>
      </c>
      <c r="I19" s="34" t="s">
        <v>210</v>
      </c>
      <c r="J19" s="34"/>
      <c r="K19" s="6" t="s">
        <v>208</v>
      </c>
      <c r="L19" s="4" t="str">
        <f>VLOOKUP(Table135[[#This Row],[Importance]],'Logic and Calculation'!$H$3:$J$12,3,FALSE)</f>
        <v>Medium</v>
      </c>
      <c r="M19" s="5">
        <v>7</v>
      </c>
      <c r="N19" s="4">
        <f>VLOOKUP(Table135[[#This Row],[Importance]],'Logic and Calculation'!$H$3:$J$12,2,FALSE)</f>
        <v>-11</v>
      </c>
      <c r="O19" s="15"/>
    </row>
    <row r="20" spans="1:15" ht="44.4" customHeight="1" x14ac:dyDescent="0.3">
      <c r="A20" s="20" t="s">
        <v>112</v>
      </c>
      <c r="B20" s="8" t="s">
        <v>365</v>
      </c>
      <c r="C20" s="4" t="s">
        <v>88</v>
      </c>
      <c r="D20" s="18" t="s">
        <v>20</v>
      </c>
      <c r="E20" s="3" t="s">
        <v>211</v>
      </c>
      <c r="F20" s="3" t="s">
        <v>212</v>
      </c>
      <c r="G20" s="3" t="s">
        <v>213</v>
      </c>
      <c r="H20" s="34" t="s">
        <v>124</v>
      </c>
      <c r="I20" s="34" t="s">
        <v>215</v>
      </c>
      <c r="J20" s="34"/>
      <c r="K20" s="3" t="s">
        <v>214</v>
      </c>
      <c r="L20" s="4" t="str">
        <f>VLOOKUP(Table135[[#This Row],[Importance]],'Logic and Calculation'!$H$3:$J$12,3,FALSE)</f>
        <v>Critical</v>
      </c>
      <c r="M20" s="4">
        <v>10</v>
      </c>
      <c r="N20" s="4">
        <f>VLOOKUP(Table135[[#This Row],[Importance]],'Logic and Calculation'!$H$3:$J$12,2,FALSE)</f>
        <v>-18</v>
      </c>
      <c r="O20" s="15"/>
    </row>
    <row r="21" spans="1:15" ht="44.4" customHeight="1" x14ac:dyDescent="0.3">
      <c r="A21" s="20" t="s">
        <v>112</v>
      </c>
      <c r="B21" s="8" t="s">
        <v>366</v>
      </c>
      <c r="C21" s="4" t="s">
        <v>89</v>
      </c>
      <c r="D21" s="18" t="s">
        <v>20</v>
      </c>
      <c r="E21" s="3" t="s">
        <v>216</v>
      </c>
      <c r="F21" s="3" t="s">
        <v>217</v>
      </c>
      <c r="G21" s="3" t="s">
        <v>90</v>
      </c>
      <c r="H21" s="34" t="s">
        <v>219</v>
      </c>
      <c r="I21" s="34" t="s">
        <v>220</v>
      </c>
      <c r="J21" s="34"/>
      <c r="K21" s="3" t="s">
        <v>218</v>
      </c>
      <c r="L21" s="4" t="str">
        <f>VLOOKUP(Table135[[#This Row],[Importance]],'Logic and Calculation'!$H$3:$J$12,3,FALSE)</f>
        <v>Medium</v>
      </c>
      <c r="M21" s="4">
        <v>6</v>
      </c>
      <c r="N21" s="4">
        <f>VLOOKUP(Table135[[#This Row],[Importance]],'Logic and Calculation'!$H$3:$J$12,2,FALSE)</f>
        <v>-9</v>
      </c>
      <c r="O21" s="15"/>
    </row>
    <row r="22" spans="1:15" ht="44.4" customHeight="1" x14ac:dyDescent="0.3">
      <c r="A22" s="20" t="s">
        <v>112</v>
      </c>
      <c r="B22" s="8" t="s">
        <v>367</v>
      </c>
      <c r="C22" s="4" t="s">
        <v>91</v>
      </c>
      <c r="D22" s="18" t="s">
        <v>20</v>
      </c>
      <c r="E22" s="3" t="s">
        <v>92</v>
      </c>
      <c r="F22" s="3" t="s">
        <v>221</v>
      </c>
      <c r="G22" s="3" t="s">
        <v>222</v>
      </c>
      <c r="H22" s="34" t="s">
        <v>224</v>
      </c>
      <c r="I22" s="34" t="s">
        <v>225</v>
      </c>
      <c r="J22" s="34"/>
      <c r="K22" s="3" t="s">
        <v>223</v>
      </c>
      <c r="L22" s="4" t="str">
        <f>VLOOKUP(Table135[[#This Row],[Importance]],'Logic and Calculation'!$H$3:$J$12,3,FALSE)</f>
        <v>Medium</v>
      </c>
      <c r="M22" s="4">
        <v>6</v>
      </c>
      <c r="N22" s="4">
        <f>VLOOKUP(Table135[[#This Row],[Importance]],'Logic and Calculation'!$H$3:$J$12,2,FALSE)</f>
        <v>-9</v>
      </c>
      <c r="O22" s="15"/>
    </row>
    <row r="23" spans="1:15" ht="44.4" customHeight="1" x14ac:dyDescent="0.3">
      <c r="A23" s="20" t="s">
        <v>112</v>
      </c>
      <c r="B23" s="8" t="s">
        <v>368</v>
      </c>
      <c r="C23" s="4" t="s">
        <v>226</v>
      </c>
      <c r="D23" s="18" t="s">
        <v>20</v>
      </c>
      <c r="E23" s="3" t="s">
        <v>227</v>
      </c>
      <c r="F23" s="3" t="s">
        <v>228</v>
      </c>
      <c r="G23" s="3" t="s">
        <v>229</v>
      </c>
      <c r="H23" s="34" t="s">
        <v>231</v>
      </c>
      <c r="I23" s="34" t="s">
        <v>232</v>
      </c>
      <c r="J23" s="34"/>
      <c r="K23" s="3" t="s">
        <v>230</v>
      </c>
      <c r="L23" s="4" t="str">
        <f>VLOOKUP(Table135[[#This Row],[Importance]],'Logic and Calculation'!$H$3:$J$12,3,FALSE)</f>
        <v>Medium</v>
      </c>
      <c r="M23" s="4">
        <v>6</v>
      </c>
      <c r="N23" s="4">
        <f>VLOOKUP(Table135[[#This Row],[Importance]],'Logic and Calculation'!$H$3:$J$12,2,FALSE)</f>
        <v>-9</v>
      </c>
      <c r="O23" s="15"/>
    </row>
    <row r="24" spans="1:15" ht="44.4" customHeight="1" x14ac:dyDescent="0.3">
      <c r="A24" s="20" t="s">
        <v>112</v>
      </c>
      <c r="B24" s="8" t="s">
        <v>369</v>
      </c>
      <c r="C24" s="4" t="s">
        <v>233</v>
      </c>
      <c r="D24" s="18" t="s">
        <v>20</v>
      </c>
      <c r="E24" s="3" t="s">
        <v>234</v>
      </c>
      <c r="F24" s="3" t="s">
        <v>235</v>
      </c>
      <c r="G24" s="3" t="s">
        <v>236</v>
      </c>
      <c r="H24" s="34" t="s">
        <v>237</v>
      </c>
      <c r="I24" s="34" t="s">
        <v>238</v>
      </c>
      <c r="J24" s="34"/>
      <c r="K24" s="3" t="s">
        <v>230</v>
      </c>
      <c r="L24" s="4" t="str">
        <f>VLOOKUP(Table135[[#This Row],[Importance]],'Logic and Calculation'!$H$3:$J$12,3,FALSE)</f>
        <v>Low</v>
      </c>
      <c r="M24" s="4">
        <v>4</v>
      </c>
      <c r="N24" s="4">
        <f>VLOOKUP(Table135[[#This Row],[Importance]],'Logic and Calculation'!$H$3:$J$12,2,FALSE)</f>
        <v>-5</v>
      </c>
      <c r="O24" s="15"/>
    </row>
    <row r="25" spans="1:15" ht="44.4" customHeight="1" x14ac:dyDescent="0.3">
      <c r="A25" s="20" t="s">
        <v>112</v>
      </c>
      <c r="B25" s="8" t="s">
        <v>370</v>
      </c>
      <c r="C25" s="4" t="s">
        <v>239</v>
      </c>
      <c r="D25" s="18" t="s">
        <v>20</v>
      </c>
      <c r="E25" s="3" t="s">
        <v>240</v>
      </c>
      <c r="F25" s="3" t="s">
        <v>241</v>
      </c>
      <c r="G25" s="3" t="s">
        <v>242</v>
      </c>
      <c r="H25" s="34" t="s">
        <v>243</v>
      </c>
      <c r="I25" s="34" t="s">
        <v>244</v>
      </c>
      <c r="J25" s="34"/>
      <c r="K25" s="3" t="s">
        <v>230</v>
      </c>
      <c r="L25" s="4" t="str">
        <f>VLOOKUP(Table135[[#This Row],[Importance]],'Logic and Calculation'!$H$3:$J$12,3,FALSE)</f>
        <v>Low</v>
      </c>
      <c r="M25" s="4">
        <v>4</v>
      </c>
      <c r="N25" s="4">
        <f>VLOOKUP(Table135[[#This Row],[Importance]],'Logic and Calculation'!$H$3:$J$12,2,FALSE)</f>
        <v>-5</v>
      </c>
      <c r="O25" s="15"/>
    </row>
    <row r="26" spans="1:15" ht="44.4" customHeight="1" x14ac:dyDescent="0.3">
      <c r="A26" s="20" t="s">
        <v>112</v>
      </c>
      <c r="B26" s="8" t="s">
        <v>371</v>
      </c>
      <c r="C26" s="4" t="s">
        <v>245</v>
      </c>
      <c r="D26" s="18" t="s">
        <v>20</v>
      </c>
      <c r="E26" s="3" t="s">
        <v>246</v>
      </c>
      <c r="F26" s="3" t="s">
        <v>247</v>
      </c>
      <c r="G26" s="3" t="s">
        <v>248</v>
      </c>
      <c r="H26" s="34" t="s">
        <v>249</v>
      </c>
      <c r="I26" s="34" t="s">
        <v>250</v>
      </c>
      <c r="J26" s="34"/>
      <c r="K26" s="3" t="s">
        <v>114</v>
      </c>
      <c r="L26" s="4" t="str">
        <f>VLOOKUP(Table135[[#This Row],[Importance]],'Logic and Calculation'!$H$3:$J$12,3,FALSE)</f>
        <v>Low</v>
      </c>
      <c r="M26" s="4">
        <v>4</v>
      </c>
      <c r="N26" s="4">
        <f>VLOOKUP(Table135[[#This Row],[Importance]],'Logic and Calculation'!$H$3:$J$12,2,FALSE)</f>
        <v>-5</v>
      </c>
      <c r="O26" s="15"/>
    </row>
    <row r="27" spans="1:15" ht="44.4" customHeight="1" x14ac:dyDescent="0.3">
      <c r="A27" s="20" t="s">
        <v>112</v>
      </c>
      <c r="B27" s="8" t="s">
        <v>372</v>
      </c>
      <c r="C27" s="4" t="s">
        <v>251</v>
      </c>
      <c r="D27" s="18" t="s">
        <v>20</v>
      </c>
      <c r="E27" s="3" t="s">
        <v>252</v>
      </c>
      <c r="F27" s="3" t="s">
        <v>253</v>
      </c>
      <c r="G27" s="3" t="s">
        <v>254</v>
      </c>
      <c r="H27" s="34" t="s">
        <v>256</v>
      </c>
      <c r="I27" s="34" t="s">
        <v>257</v>
      </c>
      <c r="J27" s="34"/>
      <c r="K27" s="3" t="s">
        <v>255</v>
      </c>
      <c r="L27" s="4" t="str">
        <f>VLOOKUP(Table135[[#This Row],[Importance]],'Logic and Calculation'!$H$3:$J$12,3,FALSE)</f>
        <v>Medium</v>
      </c>
      <c r="M27" s="4">
        <v>5</v>
      </c>
      <c r="N27" s="4">
        <f>VLOOKUP(Table135[[#This Row],[Importance]],'Logic and Calculation'!$H$3:$J$12,2,FALSE)</f>
        <v>-7</v>
      </c>
      <c r="O27" s="15"/>
    </row>
    <row r="28" spans="1:15" ht="44.4" customHeight="1" x14ac:dyDescent="0.3">
      <c r="A28" s="20" t="s">
        <v>112</v>
      </c>
      <c r="B28" s="8" t="s">
        <v>373</v>
      </c>
      <c r="C28" s="4" t="s">
        <v>258</v>
      </c>
      <c r="D28" s="18" t="s">
        <v>20</v>
      </c>
      <c r="E28" s="3" t="s">
        <v>259</v>
      </c>
      <c r="F28" s="3" t="s">
        <v>260</v>
      </c>
      <c r="G28" s="3" t="s">
        <v>261</v>
      </c>
      <c r="H28" s="34" t="s">
        <v>262</v>
      </c>
      <c r="I28" s="34" t="s">
        <v>263</v>
      </c>
      <c r="J28" s="34"/>
      <c r="K28" s="3" t="s">
        <v>255</v>
      </c>
      <c r="L28" s="4" t="str">
        <f>VLOOKUP(Table135[[#This Row],[Importance]],'Logic and Calculation'!$H$3:$J$12,3,FALSE)</f>
        <v>Medium</v>
      </c>
      <c r="M28" s="4">
        <v>6</v>
      </c>
      <c r="N28" s="4">
        <f>VLOOKUP(Table135[[#This Row],[Importance]],'Logic and Calculation'!$H$3:$J$12,2,FALSE)</f>
        <v>-9</v>
      </c>
      <c r="O28" s="15"/>
    </row>
    <row r="29" spans="1:15" ht="44.4" customHeight="1" x14ac:dyDescent="0.3">
      <c r="A29" s="20" t="s">
        <v>112</v>
      </c>
      <c r="B29" s="8" t="s">
        <v>374</v>
      </c>
      <c r="C29" s="4" t="s">
        <v>93</v>
      </c>
      <c r="D29" s="18" t="s">
        <v>20</v>
      </c>
      <c r="E29" s="3" t="s">
        <v>264</v>
      </c>
      <c r="F29" s="3" t="s">
        <v>265</v>
      </c>
      <c r="G29" s="3" t="s">
        <v>266</v>
      </c>
      <c r="H29" s="34" t="s">
        <v>268</v>
      </c>
      <c r="I29" s="34" t="s">
        <v>269</v>
      </c>
      <c r="J29" s="34"/>
      <c r="K29" s="3" t="s">
        <v>267</v>
      </c>
      <c r="L29" s="4" t="str">
        <f>VLOOKUP(Table135[[#This Row],[Importance]],'Logic and Calculation'!$H$3:$J$12,3,FALSE)</f>
        <v>Medium</v>
      </c>
      <c r="M29" s="4">
        <v>6</v>
      </c>
      <c r="N29" s="4">
        <f>VLOOKUP(Table135[[#This Row],[Importance]],'Logic and Calculation'!$H$3:$J$12,2,FALSE)</f>
        <v>-9</v>
      </c>
      <c r="O29" s="15"/>
    </row>
    <row r="30" spans="1:15" ht="44.4" customHeight="1" x14ac:dyDescent="0.3">
      <c r="A30" s="20" t="s">
        <v>112</v>
      </c>
      <c r="B30" s="8" t="s">
        <v>375</v>
      </c>
      <c r="C30" s="4" t="s">
        <v>94</v>
      </c>
      <c r="D30" s="18" t="s">
        <v>20</v>
      </c>
      <c r="E30" s="3" t="s">
        <v>270</v>
      </c>
      <c r="F30" s="3" t="s">
        <v>271</v>
      </c>
      <c r="G30" s="3" t="s">
        <v>272</v>
      </c>
      <c r="H30" s="34" t="s">
        <v>274</v>
      </c>
      <c r="I30" s="34" t="s">
        <v>275</v>
      </c>
      <c r="J30" s="34"/>
      <c r="K30" s="3" t="s">
        <v>273</v>
      </c>
      <c r="L30" s="4" t="str">
        <f>VLOOKUP(Table135[[#This Row],[Importance]],'Logic and Calculation'!$H$3:$J$12,3,FALSE)</f>
        <v>Medium</v>
      </c>
      <c r="M30" s="4">
        <v>5</v>
      </c>
      <c r="N30" s="4">
        <f>VLOOKUP(Table135[[#This Row],[Importance]],'Logic and Calculation'!$H$3:$J$12,2,FALSE)</f>
        <v>-7</v>
      </c>
      <c r="O30" s="15"/>
    </row>
    <row r="31" spans="1:15" ht="44.4" customHeight="1" x14ac:dyDescent="0.3">
      <c r="A31" s="20" t="s">
        <v>112</v>
      </c>
      <c r="B31" s="8" t="s">
        <v>376</v>
      </c>
      <c r="C31" s="4" t="s">
        <v>276</v>
      </c>
      <c r="D31" s="18" t="s">
        <v>20</v>
      </c>
      <c r="E31" s="3" t="s">
        <v>277</v>
      </c>
      <c r="F31" s="3" t="s">
        <v>278</v>
      </c>
      <c r="G31" s="3" t="s">
        <v>279</v>
      </c>
      <c r="H31" s="34" t="s">
        <v>281</v>
      </c>
      <c r="I31" s="34" t="s">
        <v>282</v>
      </c>
      <c r="J31" s="34"/>
      <c r="K31" s="3" t="s">
        <v>280</v>
      </c>
      <c r="L31" s="4" t="str">
        <f>VLOOKUP(Table135[[#This Row],[Importance]],'Logic and Calculation'!$H$3:$J$12,3,FALSE)</f>
        <v>Medium</v>
      </c>
      <c r="M31" s="4">
        <v>6</v>
      </c>
      <c r="N31" s="4">
        <f>VLOOKUP(Table135[[#This Row],[Importance]],'Logic and Calculation'!$H$3:$J$12,2,FALSE)</f>
        <v>-9</v>
      </c>
      <c r="O31" s="15"/>
    </row>
    <row r="32" spans="1:15" ht="96" x14ac:dyDescent="0.3">
      <c r="A32" s="35" t="s">
        <v>112</v>
      </c>
      <c r="B32" s="8" t="s">
        <v>377</v>
      </c>
      <c r="C32" s="36" t="s">
        <v>283</v>
      </c>
      <c r="D32" s="18" t="s">
        <v>20</v>
      </c>
      <c r="E32" s="3" t="s">
        <v>284</v>
      </c>
      <c r="F32" s="3" t="s">
        <v>285</v>
      </c>
      <c r="G32" s="3" t="s">
        <v>286</v>
      </c>
      <c r="H32" s="37" t="s">
        <v>288</v>
      </c>
      <c r="I32" s="37" t="s">
        <v>289</v>
      </c>
      <c r="J32" s="37"/>
      <c r="K32" s="3" t="s">
        <v>287</v>
      </c>
      <c r="L32" s="36" t="str">
        <f>VLOOKUP(Table135[[#This Row],[Importance]],'Logic and Calculation'!$H$3:$J$12,3,FALSE)</f>
        <v>High</v>
      </c>
      <c r="M32" s="36">
        <v>8</v>
      </c>
      <c r="N32" s="36">
        <f>VLOOKUP(Table135[[#This Row],[Importance]],'Logic and Calculation'!$H$3:$J$12,2,FALSE)</f>
        <v>-13</v>
      </c>
      <c r="O32" s="38"/>
    </row>
    <row r="33" spans="1:15" ht="84" x14ac:dyDescent="0.3">
      <c r="A33" s="35" t="s">
        <v>112</v>
      </c>
      <c r="B33" s="8" t="s">
        <v>378</v>
      </c>
      <c r="C33" s="36" t="s">
        <v>290</v>
      </c>
      <c r="D33" s="18" t="s">
        <v>20</v>
      </c>
      <c r="E33" s="3" t="s">
        <v>291</v>
      </c>
      <c r="F33" s="3" t="s">
        <v>292</v>
      </c>
      <c r="G33" s="3" t="s">
        <v>293</v>
      </c>
      <c r="H33" s="37" t="s">
        <v>295</v>
      </c>
      <c r="I33" s="37" t="s">
        <v>296</v>
      </c>
      <c r="J33" s="37"/>
      <c r="K33" s="3" t="s">
        <v>294</v>
      </c>
      <c r="L33" s="36" t="str">
        <f>VLOOKUP(Table135[[#This Row],[Importance]],'Logic and Calculation'!$H$3:$J$12,3,FALSE)</f>
        <v>Medium</v>
      </c>
      <c r="M33" s="36">
        <v>5</v>
      </c>
      <c r="N33" s="36">
        <f>VLOOKUP(Table135[[#This Row],[Importance]],'Logic and Calculation'!$H$3:$J$12,2,FALSE)</f>
        <v>-7</v>
      </c>
      <c r="O33" s="38"/>
    </row>
    <row r="34" spans="1:15" ht="60" x14ac:dyDescent="0.3">
      <c r="A34" s="35" t="s">
        <v>297</v>
      </c>
      <c r="B34" s="8" t="s">
        <v>379</v>
      </c>
      <c r="C34" s="36" t="s">
        <v>95</v>
      </c>
      <c r="D34" s="18" t="s">
        <v>20</v>
      </c>
      <c r="E34" s="3" t="s">
        <v>96</v>
      </c>
      <c r="F34" s="3" t="s">
        <v>298</v>
      </c>
      <c r="G34" s="3" t="s">
        <v>299</v>
      </c>
      <c r="H34" s="37" t="s">
        <v>300</v>
      </c>
      <c r="I34" s="37" t="s">
        <v>301</v>
      </c>
      <c r="J34" s="37"/>
      <c r="K34" s="3" t="s">
        <v>199</v>
      </c>
      <c r="L34" s="36" t="str">
        <f>VLOOKUP(Table135[[#This Row],[Importance]],'Logic and Calculation'!$H$3:$J$12,3,FALSE)</f>
        <v>High</v>
      </c>
      <c r="M34" s="36">
        <v>8</v>
      </c>
      <c r="N34" s="36">
        <f>VLOOKUP(Table135[[#This Row],[Importance]],'Logic and Calculation'!$H$3:$J$12,2,FALSE)</f>
        <v>-13</v>
      </c>
      <c r="O34" s="38"/>
    </row>
    <row r="35" spans="1:15" ht="36" x14ac:dyDescent="0.3">
      <c r="A35" s="35" t="s">
        <v>297</v>
      </c>
      <c r="B35" s="8" t="s">
        <v>380</v>
      </c>
      <c r="C35" s="36" t="s">
        <v>302</v>
      </c>
      <c r="D35" s="18" t="s">
        <v>20</v>
      </c>
      <c r="E35" s="3" t="s">
        <v>303</v>
      </c>
      <c r="F35" s="3" t="s">
        <v>304</v>
      </c>
      <c r="G35" s="3" t="s">
        <v>305</v>
      </c>
      <c r="H35" s="37" t="s">
        <v>306</v>
      </c>
      <c r="I35" s="37" t="s">
        <v>307</v>
      </c>
      <c r="J35" s="37"/>
      <c r="K35" s="3" t="s">
        <v>115</v>
      </c>
      <c r="L35" s="36" t="str">
        <f>VLOOKUP(Table135[[#This Row],[Importance]],'Logic and Calculation'!$H$3:$J$12,3,FALSE)</f>
        <v>High</v>
      </c>
      <c r="M35" s="36">
        <v>8</v>
      </c>
      <c r="N35" s="36">
        <f>VLOOKUP(Table135[[#This Row],[Importance]],'Logic and Calculation'!$H$3:$J$12,2,FALSE)</f>
        <v>-13</v>
      </c>
      <c r="O35" s="38"/>
    </row>
    <row r="36" spans="1:15" ht="84" x14ac:dyDescent="0.3">
      <c r="A36" s="35" t="s">
        <v>297</v>
      </c>
      <c r="B36" s="8" t="s">
        <v>381</v>
      </c>
      <c r="C36" s="36" t="s">
        <v>308</v>
      </c>
      <c r="D36" s="18" t="s">
        <v>20</v>
      </c>
      <c r="E36" s="3" t="s">
        <v>309</v>
      </c>
      <c r="F36" s="3" t="s">
        <v>310</v>
      </c>
      <c r="G36" s="3" t="s">
        <v>311</v>
      </c>
      <c r="H36" s="37" t="s">
        <v>313</v>
      </c>
      <c r="I36" s="37" t="s">
        <v>314</v>
      </c>
      <c r="J36" s="37"/>
      <c r="K36" s="3" t="s">
        <v>312</v>
      </c>
      <c r="L36" s="36" t="str">
        <f>VLOOKUP(Table135[[#This Row],[Importance]],'Logic and Calculation'!$H$3:$J$12,3,FALSE)</f>
        <v>Medium</v>
      </c>
      <c r="M36" s="36">
        <v>6</v>
      </c>
      <c r="N36" s="36">
        <f>VLOOKUP(Table135[[#This Row],[Importance]],'Logic and Calculation'!$H$3:$J$12,2,FALSE)</f>
        <v>-9</v>
      </c>
      <c r="O36" s="38"/>
    </row>
    <row r="37" spans="1:15" ht="48" x14ac:dyDescent="0.3">
      <c r="A37" s="35" t="s">
        <v>297</v>
      </c>
      <c r="B37" s="8" t="s">
        <v>382</v>
      </c>
      <c r="C37" s="36" t="s">
        <v>97</v>
      </c>
      <c r="D37" s="18" t="s">
        <v>20</v>
      </c>
      <c r="E37" s="3" t="s">
        <v>98</v>
      </c>
      <c r="F37" s="3" t="s">
        <v>99</v>
      </c>
      <c r="G37" s="3" t="s">
        <v>100</v>
      </c>
      <c r="H37" s="37" t="s">
        <v>316</v>
      </c>
      <c r="I37" s="37" t="s">
        <v>317</v>
      </c>
      <c r="J37" s="37"/>
      <c r="K37" s="3" t="s">
        <v>315</v>
      </c>
      <c r="L37" s="36" t="str">
        <f>VLOOKUP(Table135[[#This Row],[Importance]],'Logic and Calculation'!$H$3:$J$12,3,FALSE)</f>
        <v>Medium</v>
      </c>
      <c r="M37" s="36">
        <v>6</v>
      </c>
      <c r="N37" s="36">
        <f>VLOOKUP(Table135[[#This Row],[Importance]],'Logic and Calculation'!$H$3:$J$12,2,FALSE)</f>
        <v>-9</v>
      </c>
      <c r="O37" s="38"/>
    </row>
    <row r="38" spans="1:15" ht="48" x14ac:dyDescent="0.3">
      <c r="A38" s="35" t="s">
        <v>297</v>
      </c>
      <c r="B38" s="8" t="s">
        <v>383</v>
      </c>
      <c r="C38" s="36" t="s">
        <v>101</v>
      </c>
      <c r="D38" s="18" t="s">
        <v>20</v>
      </c>
      <c r="E38" s="3" t="s">
        <v>318</v>
      </c>
      <c r="F38" s="3" t="s">
        <v>319</v>
      </c>
      <c r="G38" s="3" t="s">
        <v>320</v>
      </c>
      <c r="H38" s="37" t="s">
        <v>322</v>
      </c>
      <c r="I38" s="37" t="s">
        <v>323</v>
      </c>
      <c r="J38" s="37"/>
      <c r="K38" s="3" t="s">
        <v>321</v>
      </c>
      <c r="L38" s="36" t="str">
        <f>VLOOKUP(Table135[[#This Row],[Importance]],'Logic and Calculation'!$H$3:$J$12,3,FALSE)</f>
        <v>Medium</v>
      </c>
      <c r="M38" s="36">
        <v>5</v>
      </c>
      <c r="N38" s="36">
        <f>VLOOKUP(Table135[[#This Row],[Importance]],'Logic and Calculation'!$H$3:$J$12,2,FALSE)</f>
        <v>-7</v>
      </c>
      <c r="O38" s="38"/>
    </row>
    <row r="39" spans="1:15" ht="48" x14ac:dyDescent="0.3">
      <c r="A39" s="35" t="s">
        <v>297</v>
      </c>
      <c r="B39" s="8" t="s">
        <v>384</v>
      </c>
      <c r="C39" s="36" t="s">
        <v>102</v>
      </c>
      <c r="D39" s="18" t="s">
        <v>20</v>
      </c>
      <c r="E39" s="3" t="s">
        <v>324</v>
      </c>
      <c r="F39" s="3" t="s">
        <v>325</v>
      </c>
      <c r="G39" s="3" t="s">
        <v>326</v>
      </c>
      <c r="H39" s="37" t="s">
        <v>327</v>
      </c>
      <c r="I39" s="37" t="s">
        <v>328</v>
      </c>
      <c r="J39" s="37"/>
      <c r="K39" s="3" t="s">
        <v>116</v>
      </c>
      <c r="L39" s="36" t="str">
        <f>VLOOKUP(Table135[[#This Row],[Importance]],'Logic and Calculation'!$H$3:$J$12,3,FALSE)</f>
        <v>Low</v>
      </c>
      <c r="M39" s="36">
        <v>4</v>
      </c>
      <c r="N39" s="36">
        <f>VLOOKUP(Table135[[#This Row],[Importance]],'Logic and Calculation'!$H$3:$J$12,2,FALSE)</f>
        <v>-5</v>
      </c>
      <c r="O39" s="38"/>
    </row>
    <row r="40" spans="1:15" ht="48" x14ac:dyDescent="0.3">
      <c r="A40" s="35" t="s">
        <v>113</v>
      </c>
      <c r="B40" s="8" t="s">
        <v>385</v>
      </c>
      <c r="C40" s="36" t="s">
        <v>103</v>
      </c>
      <c r="D40" s="18" t="s">
        <v>20</v>
      </c>
      <c r="E40" s="3" t="s">
        <v>329</v>
      </c>
      <c r="F40" s="3" t="s">
        <v>330</v>
      </c>
      <c r="G40" s="3" t="s">
        <v>331</v>
      </c>
      <c r="H40" s="37" t="s">
        <v>333</v>
      </c>
      <c r="I40" s="37" t="s">
        <v>334</v>
      </c>
      <c r="J40" s="37"/>
      <c r="K40" s="3" t="s">
        <v>332</v>
      </c>
      <c r="L40" s="36" t="str">
        <f>VLOOKUP(Table135[[#This Row],[Importance]],'Logic and Calculation'!$H$3:$J$12,3,FALSE)</f>
        <v>Critical</v>
      </c>
      <c r="M40" s="36">
        <v>10</v>
      </c>
      <c r="N40" s="36">
        <f>VLOOKUP(Table135[[#This Row],[Importance]],'Logic and Calculation'!$H$3:$J$12,2,FALSE)</f>
        <v>-18</v>
      </c>
      <c r="O40" s="38"/>
    </row>
    <row r="41" spans="1:15" ht="48" x14ac:dyDescent="0.3">
      <c r="A41" s="35" t="s">
        <v>113</v>
      </c>
      <c r="B41" s="8" t="s">
        <v>386</v>
      </c>
      <c r="C41" s="36" t="s">
        <v>104</v>
      </c>
      <c r="D41" s="18" t="s">
        <v>20</v>
      </c>
      <c r="E41" s="3" t="s">
        <v>105</v>
      </c>
      <c r="F41" s="3" t="s">
        <v>335</v>
      </c>
      <c r="G41" s="3" t="s">
        <v>106</v>
      </c>
      <c r="H41" s="37" t="s">
        <v>337</v>
      </c>
      <c r="I41" s="37" t="s">
        <v>338</v>
      </c>
      <c r="J41" s="37"/>
      <c r="K41" s="3" t="s">
        <v>336</v>
      </c>
      <c r="L41" s="36" t="str">
        <f>VLOOKUP(Table135[[#This Row],[Importance]],'Logic and Calculation'!$H$3:$J$12,3,FALSE)</f>
        <v>High</v>
      </c>
      <c r="M41" s="36">
        <v>8</v>
      </c>
      <c r="N41" s="36">
        <f>VLOOKUP(Table135[[#This Row],[Importance]],'Logic and Calculation'!$H$3:$J$12,2,FALSE)</f>
        <v>-13</v>
      </c>
      <c r="O41" s="38"/>
    </row>
    <row r="42" spans="1:15" ht="36" x14ac:dyDescent="0.3">
      <c r="A42" s="35" t="s">
        <v>113</v>
      </c>
      <c r="B42" s="8" t="s">
        <v>387</v>
      </c>
      <c r="C42" s="36" t="s">
        <v>107</v>
      </c>
      <c r="D42" s="18" t="s">
        <v>20</v>
      </c>
      <c r="E42" s="3" t="s">
        <v>339</v>
      </c>
      <c r="F42" s="3" t="s">
        <v>340</v>
      </c>
      <c r="G42" s="3" t="s">
        <v>341</v>
      </c>
      <c r="H42" s="37" t="s">
        <v>342</v>
      </c>
      <c r="I42" s="37" t="s">
        <v>343</v>
      </c>
      <c r="J42" s="37"/>
      <c r="K42" s="3" t="s">
        <v>117</v>
      </c>
      <c r="L42" s="36" t="str">
        <f>VLOOKUP(Table135[[#This Row],[Importance]],'Logic and Calculation'!$H$3:$J$12,3,FALSE)</f>
        <v>Medium</v>
      </c>
      <c r="M42" s="36">
        <v>6</v>
      </c>
      <c r="N42" s="36">
        <f>VLOOKUP(Table135[[#This Row],[Importance]],'Logic and Calculation'!$H$3:$J$12,2,FALSE)</f>
        <v>-9</v>
      </c>
      <c r="O42" s="38"/>
    </row>
    <row r="43" spans="1:15" ht="36" x14ac:dyDescent="0.3">
      <c r="A43" s="35" t="s">
        <v>113</v>
      </c>
      <c r="B43" s="8" t="s">
        <v>388</v>
      </c>
      <c r="C43" s="36" t="s">
        <v>108</v>
      </c>
      <c r="D43" s="18" t="s">
        <v>20</v>
      </c>
      <c r="E43" s="3" t="s">
        <v>109</v>
      </c>
      <c r="F43" s="3" t="s">
        <v>344</v>
      </c>
      <c r="G43" s="3" t="s">
        <v>110</v>
      </c>
      <c r="H43" s="37" t="s">
        <v>345</v>
      </c>
      <c r="I43" s="37" t="s">
        <v>346</v>
      </c>
      <c r="J43" s="37"/>
      <c r="K43" s="3" t="s">
        <v>125</v>
      </c>
      <c r="L43" s="36" t="str">
        <f>VLOOKUP(Table135[[#This Row],[Importance]],'Logic and Calculation'!$H$3:$J$12,3,FALSE)</f>
        <v>High</v>
      </c>
      <c r="M43" s="36">
        <v>8</v>
      </c>
      <c r="N43" s="36">
        <f>VLOOKUP(Table135[[#This Row],[Importance]],'Logic and Calculation'!$H$3:$J$12,2,FALSE)</f>
        <v>-13</v>
      </c>
      <c r="O43" s="38"/>
    </row>
  </sheetData>
  <phoneticPr fontId="10" type="noConversion"/>
  <conditionalFormatting sqref="D2:D43">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D2:D43" xr:uid="{DF4DFB7F-2FC5-4079-B98B-7524469AA61E}">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49"/>
  <sheetViews>
    <sheetView workbookViewId="0">
      <pane ySplit="7" topLeftCell="A8" activePane="bottomLeft" state="frozen"/>
      <selection pane="bottomLeft" activeCell="M18" sqref="M18"/>
    </sheetView>
  </sheetViews>
  <sheetFormatPr defaultRowHeight="14.4" x14ac:dyDescent="0.3"/>
  <cols>
    <col min="1" max="1" width="12"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4</v>
      </c>
      <c r="B1" s="2" t="s">
        <v>10</v>
      </c>
      <c r="C1" s="2" t="s">
        <v>5</v>
      </c>
      <c r="D1" s="2" t="s">
        <v>11</v>
      </c>
      <c r="E1" s="2" t="s">
        <v>17</v>
      </c>
      <c r="F1" s="2" t="s">
        <v>22</v>
      </c>
    </row>
    <row r="2" spans="1:13" x14ac:dyDescent="0.3">
      <c r="A2" t="s">
        <v>23</v>
      </c>
      <c r="B2">
        <v>100</v>
      </c>
      <c r="D2" t="s">
        <v>24</v>
      </c>
      <c r="H2" s="12" t="s">
        <v>16</v>
      </c>
      <c r="I2" s="12" t="s">
        <v>25</v>
      </c>
      <c r="J2" s="12" t="s">
        <v>26</v>
      </c>
      <c r="L2" s="27" t="s">
        <v>1</v>
      </c>
      <c r="M2" s="27" t="s">
        <v>27</v>
      </c>
    </row>
    <row r="3" spans="1:13" x14ac:dyDescent="0.3">
      <c r="A3" t="s">
        <v>28</v>
      </c>
      <c r="B3">
        <f>SUM(F8:F975)</f>
        <v>0</v>
      </c>
      <c r="D3" t="s">
        <v>49</v>
      </c>
      <c r="H3">
        <v>10</v>
      </c>
      <c r="I3">
        <v>-18</v>
      </c>
      <c r="J3" t="s">
        <v>29</v>
      </c>
      <c r="L3" t="s">
        <v>43</v>
      </c>
      <c r="M3" t="s">
        <v>30</v>
      </c>
    </row>
    <row r="4" spans="1:13" x14ac:dyDescent="0.3">
      <c r="A4" t="s">
        <v>31</v>
      </c>
      <c r="B4">
        <f>B2+B3</f>
        <v>100</v>
      </c>
      <c r="D4" t="s">
        <v>32</v>
      </c>
      <c r="H4">
        <v>9</v>
      </c>
      <c r="I4">
        <v>-15</v>
      </c>
      <c r="J4" t="s">
        <v>33</v>
      </c>
      <c r="L4" t="s">
        <v>34</v>
      </c>
      <c r="M4" t="s">
        <v>35</v>
      </c>
    </row>
    <row r="5" spans="1:13" x14ac:dyDescent="0.3">
      <c r="A5" t="s">
        <v>1</v>
      </c>
      <c r="B5" t="str">
        <f>IF(B4&gt;=75,"Is Compliant",IF(AND(B4&lt;75,B4&gt;=40),"Need Improvement","Non-Compliant"))</f>
        <v>Is Compliant</v>
      </c>
      <c r="D5" t="s">
        <v>36</v>
      </c>
      <c r="H5">
        <v>8</v>
      </c>
      <c r="I5">
        <v>-13</v>
      </c>
      <c r="J5" t="s">
        <v>33</v>
      </c>
      <c r="L5" t="s">
        <v>37</v>
      </c>
      <c r="M5" t="s">
        <v>38</v>
      </c>
    </row>
    <row r="6" spans="1:13" x14ac:dyDescent="0.3">
      <c r="A6" t="s">
        <v>39</v>
      </c>
      <c r="B6" t="s">
        <v>40</v>
      </c>
      <c r="H6">
        <v>7</v>
      </c>
      <c r="I6">
        <v>-11</v>
      </c>
      <c r="J6" t="s">
        <v>21</v>
      </c>
    </row>
    <row r="7" spans="1:13" x14ac:dyDescent="0.3">
      <c r="H7">
        <v>6</v>
      </c>
      <c r="I7">
        <v>-9</v>
      </c>
      <c r="J7" t="s">
        <v>21</v>
      </c>
    </row>
    <row r="8" spans="1:13" x14ac:dyDescent="0.3">
      <c r="A8" t="str">
        <f>Framework_Reference!A2</f>
        <v>Account Governance</v>
      </c>
      <c r="B8" t="str">
        <f>Framework_Reference!B2</f>
        <v>F001</v>
      </c>
      <c r="C8" t="str">
        <f>Framework_Reference!C2</f>
        <v>Naming Convention Compliance</v>
      </c>
      <c r="D8" t="str">
        <f>Framework_Reference!D2</f>
        <v>OK</v>
      </c>
      <c r="E8">
        <f>Framework_Reference!N2</f>
        <v>-13</v>
      </c>
      <c r="F8">
        <f t="shared" ref="F8" si="0">IF(D8="FLAG",E8,IF(D8="PARTIAL",E8*0.5,0))</f>
        <v>0</v>
      </c>
      <c r="H8">
        <v>5</v>
      </c>
      <c r="I8">
        <v>-7</v>
      </c>
      <c r="J8" t="s">
        <v>21</v>
      </c>
    </row>
    <row r="9" spans="1:13" x14ac:dyDescent="0.3">
      <c r="A9" t="str">
        <f>Framework_Reference!A3</f>
        <v>Account Governance</v>
      </c>
      <c r="B9" t="str">
        <f>Framework_Reference!B3</f>
        <v>F002</v>
      </c>
      <c r="C9" t="str">
        <f>Framework_Reference!C3</f>
        <v>Legacy Campaign Cleanup</v>
      </c>
      <c r="D9" t="str">
        <f>Framework_Reference!D3</f>
        <v>OK</v>
      </c>
      <c r="E9">
        <f>Framework_Reference!N3</f>
        <v>-9</v>
      </c>
      <c r="F9">
        <f t="shared" ref="F9:F38" si="1">IF(D9="FLAG",E9,IF(D9="PARTIAL",E9*0.5,0))</f>
        <v>0</v>
      </c>
      <c r="H9">
        <v>4</v>
      </c>
      <c r="I9">
        <v>-5</v>
      </c>
      <c r="J9" t="s">
        <v>41</v>
      </c>
    </row>
    <row r="10" spans="1:13" x14ac:dyDescent="0.3">
      <c r="A10" t="str">
        <f>Framework_Reference!A4</f>
        <v>Account Governance</v>
      </c>
      <c r="B10" t="str">
        <f>Framework_Reference!B4</f>
        <v>F003</v>
      </c>
      <c r="C10" t="str">
        <f>Framework_Reference!C4</f>
        <v>Auto-Apply Settings</v>
      </c>
      <c r="D10" t="str">
        <f>Framework_Reference!D4</f>
        <v>OK</v>
      </c>
      <c r="E10">
        <f>Framework_Reference!N4</f>
        <v>-13</v>
      </c>
      <c r="F10">
        <f t="shared" si="1"/>
        <v>0</v>
      </c>
      <c r="H10">
        <v>3</v>
      </c>
      <c r="I10">
        <v>-3</v>
      </c>
      <c r="J10" t="s">
        <v>41</v>
      </c>
    </row>
    <row r="11" spans="1:13" x14ac:dyDescent="0.3">
      <c r="A11" t="str">
        <f>Framework_Reference!A5</f>
        <v>Account Governance</v>
      </c>
      <c r="B11" t="str">
        <f>Framework_Reference!B5</f>
        <v>F004</v>
      </c>
      <c r="C11" t="str">
        <f>Framework_Reference!C5</f>
        <v>Display Expansion Disabled on Search</v>
      </c>
      <c r="D11" t="str">
        <f>Framework_Reference!D5</f>
        <v>OK</v>
      </c>
      <c r="E11">
        <f>Framework_Reference!N5</f>
        <v>-13</v>
      </c>
      <c r="F11">
        <f t="shared" si="1"/>
        <v>0</v>
      </c>
      <c r="H11">
        <v>2</v>
      </c>
      <c r="I11">
        <v>-2</v>
      </c>
      <c r="J11" t="s">
        <v>42</v>
      </c>
    </row>
    <row r="12" spans="1:13" x14ac:dyDescent="0.3">
      <c r="A12" t="str">
        <f>Framework_Reference!A6</f>
        <v>Account Governance</v>
      </c>
      <c r="B12" t="str">
        <f>Framework_Reference!B6</f>
        <v>F005</v>
      </c>
      <c r="C12" t="str">
        <f>Framework_Reference!C6</f>
        <v>Location Targeting Mode</v>
      </c>
      <c r="D12" t="str">
        <f>Framework_Reference!D6</f>
        <v>OK</v>
      </c>
      <c r="E12">
        <f>Framework_Reference!N6</f>
        <v>-9</v>
      </c>
      <c r="F12">
        <f t="shared" si="1"/>
        <v>0</v>
      </c>
      <c r="H12">
        <v>1</v>
      </c>
      <c r="I12">
        <v>-1</v>
      </c>
      <c r="J12" t="s">
        <v>42</v>
      </c>
    </row>
    <row r="13" spans="1:13" x14ac:dyDescent="0.3">
      <c r="A13" t="str">
        <f>Framework_Reference!A7</f>
        <v>Account Governance</v>
      </c>
      <c r="B13" t="str">
        <f>Framework_Reference!B7</f>
        <v>F006</v>
      </c>
      <c r="C13" t="str">
        <f>Framework_Reference!C7</f>
        <v>Promotion End Dates</v>
      </c>
      <c r="D13" t="str">
        <f>Framework_Reference!D7</f>
        <v>OK</v>
      </c>
      <c r="E13">
        <f>Framework_Reference!N7</f>
        <v>-7</v>
      </c>
      <c r="F13">
        <f t="shared" si="1"/>
        <v>0</v>
      </c>
    </row>
    <row r="14" spans="1:13" x14ac:dyDescent="0.3">
      <c r="A14" t="str">
        <f>Framework_Reference!A8</f>
        <v>Account Governance</v>
      </c>
      <c r="B14" t="str">
        <f>Framework_Reference!B8</f>
        <v>F007</v>
      </c>
      <c r="C14" t="str">
        <f>Framework_Reference!C8</f>
        <v>PMAX Automation Settings Disabled</v>
      </c>
      <c r="D14" t="str">
        <f>Framework_Reference!D8</f>
        <v>OK</v>
      </c>
      <c r="E14">
        <f>Framework_Reference!N8</f>
        <v>-13</v>
      </c>
      <c r="F14">
        <f t="shared" si="1"/>
        <v>0</v>
      </c>
    </row>
    <row r="15" spans="1:13" x14ac:dyDescent="0.3">
      <c r="A15" t="str">
        <f>Framework_Reference!A9</f>
        <v>Keyword &amp; Targeting</v>
      </c>
      <c r="B15" t="str">
        <f>Framework_Reference!B9</f>
        <v>F008</v>
      </c>
      <c r="C15" t="str">
        <f>Framework_Reference!C9</f>
        <v>Match Type Governance</v>
      </c>
      <c r="D15" t="str">
        <f>Framework_Reference!D9</f>
        <v>OK</v>
      </c>
      <c r="E15">
        <f>Framework_Reference!N9</f>
        <v>-13</v>
      </c>
      <c r="F15">
        <f t="shared" si="1"/>
        <v>0</v>
      </c>
    </row>
    <row r="16" spans="1:13" x14ac:dyDescent="0.3">
      <c r="A16" t="str">
        <f>Framework_Reference!A10</f>
        <v>Keyword &amp; Targeting</v>
      </c>
      <c r="B16" t="str">
        <f>Framework_Reference!B10</f>
        <v>F009</v>
      </c>
      <c r="C16" t="str">
        <f>Framework_Reference!C10</f>
        <v>TM Terms Uploaded to QT Portal</v>
      </c>
      <c r="D16" t="str">
        <f>Framework_Reference!D10</f>
        <v>OK</v>
      </c>
      <c r="E16">
        <f>Framework_Reference!N10</f>
        <v>-13</v>
      </c>
      <c r="F16">
        <f t="shared" si="1"/>
        <v>0</v>
      </c>
    </row>
    <row r="17" spans="1:6" x14ac:dyDescent="0.3">
      <c r="A17" t="str">
        <f>Framework_Reference!A11</f>
        <v>Keyword &amp; Targeting</v>
      </c>
      <c r="B17" t="str">
        <f>Framework_Reference!B11</f>
        <v>F010</v>
      </c>
      <c r="C17" t="str">
        <f>Framework_Reference!C11</f>
        <v>Branded Search Campaign Active</v>
      </c>
      <c r="D17" t="str">
        <f>Framework_Reference!D11</f>
        <v>OK</v>
      </c>
      <c r="E17">
        <f>Framework_Reference!N11</f>
        <v>-18</v>
      </c>
      <c r="F17">
        <f t="shared" si="1"/>
        <v>0</v>
      </c>
    </row>
    <row r="18" spans="1:6" x14ac:dyDescent="0.3">
      <c r="A18" t="str">
        <f>Framework_Reference!A12</f>
        <v>Keyword &amp; Targeting</v>
      </c>
      <c r="B18" t="str">
        <f>Framework_Reference!B12</f>
        <v>F011</v>
      </c>
      <c r="C18" t="str">
        <f>Framework_Reference!C12</f>
        <v>Non-Brand Search Campaign Active</v>
      </c>
      <c r="D18" t="str">
        <f>Framework_Reference!D12</f>
        <v>OK</v>
      </c>
      <c r="E18">
        <f>Framework_Reference!N12</f>
        <v>-13</v>
      </c>
      <c r="F18">
        <f t="shared" si="1"/>
        <v>0</v>
      </c>
    </row>
    <row r="19" spans="1:6" x14ac:dyDescent="0.3">
      <c r="A19" t="str">
        <f>Framework_Reference!A13</f>
        <v>Keyword &amp; Targeting</v>
      </c>
      <c r="B19" t="str">
        <f>Framework_Reference!B13</f>
        <v>F012</v>
      </c>
      <c r="C19" t="str">
        <f>Framework_Reference!C13</f>
        <v>Search Term Waste</v>
      </c>
      <c r="D19" t="str">
        <f>Framework_Reference!D13</f>
        <v>OK</v>
      </c>
      <c r="E19">
        <f>Framework_Reference!N13</f>
        <v>-13</v>
      </c>
      <c r="F19">
        <f t="shared" si="1"/>
        <v>0</v>
      </c>
    </row>
    <row r="20" spans="1:6" x14ac:dyDescent="0.3">
      <c r="A20" t="str">
        <f>Framework_Reference!A14</f>
        <v>Keyword &amp; Targeting</v>
      </c>
      <c r="B20" t="str">
        <f>Framework_Reference!B14</f>
        <v>F013</v>
      </c>
      <c r="C20" t="str">
        <f>Framework_Reference!C14</f>
        <v>Negative Keyword Coverage</v>
      </c>
      <c r="D20" t="str">
        <f>Framework_Reference!D14</f>
        <v>OK</v>
      </c>
      <c r="E20">
        <f>Framework_Reference!N14</f>
        <v>-11</v>
      </c>
      <c r="F20">
        <f t="shared" si="1"/>
        <v>0</v>
      </c>
    </row>
    <row r="21" spans="1:6" x14ac:dyDescent="0.3">
      <c r="A21" t="str">
        <f>Framework_Reference!A15</f>
        <v>Budget &amp; Bid Strategy</v>
      </c>
      <c r="B21" t="str">
        <f>Framework_Reference!B15</f>
        <v>F014</v>
      </c>
      <c r="C21" t="str">
        <f>Framework_Reference!C15</f>
        <v>PMAX Bid Strategy</v>
      </c>
      <c r="D21" t="str">
        <f>Framework_Reference!D15</f>
        <v>OK</v>
      </c>
      <c r="E21">
        <f>Framework_Reference!N15</f>
        <v>-18</v>
      </c>
      <c r="F21">
        <f t="shared" si="1"/>
        <v>0</v>
      </c>
    </row>
    <row r="22" spans="1:6" x14ac:dyDescent="0.3">
      <c r="A22" t="str">
        <f>Framework_Reference!A16</f>
        <v>Budget &amp; Bid Strategy</v>
      </c>
      <c r="B22" t="str">
        <f>Framework_Reference!B16</f>
        <v>F015</v>
      </c>
      <c r="C22" t="str">
        <f>Framework_Reference!C16</f>
        <v>Shopping Bid Strategy</v>
      </c>
      <c r="D22" t="str">
        <f>Framework_Reference!D16</f>
        <v>OK</v>
      </c>
      <c r="E22">
        <f>Framework_Reference!N16</f>
        <v>-9</v>
      </c>
      <c r="F22">
        <f t="shared" si="1"/>
        <v>0</v>
      </c>
    </row>
    <row r="23" spans="1:6" x14ac:dyDescent="0.3">
      <c r="A23" t="str">
        <f>Framework_Reference!A17</f>
        <v>Budget &amp; Bid Strategy</v>
      </c>
      <c r="B23" t="str">
        <f>Framework_Reference!B17</f>
        <v>F016</v>
      </c>
      <c r="C23" t="str">
        <f>Framework_Reference!C17</f>
        <v>Budget Concentration — PMAX Dominance</v>
      </c>
      <c r="D23" t="str">
        <f>Framework_Reference!D17</f>
        <v>OK</v>
      </c>
      <c r="E23">
        <f>Framework_Reference!N17</f>
        <v>-13</v>
      </c>
      <c r="F23">
        <f t="shared" si="1"/>
        <v>0</v>
      </c>
    </row>
    <row r="24" spans="1:6" x14ac:dyDescent="0.3">
      <c r="A24" t="str">
        <f>Framework_Reference!A18</f>
        <v>Budget &amp; Bid Strategy</v>
      </c>
      <c r="B24" t="str">
        <f>Framework_Reference!B18</f>
        <v>F017</v>
      </c>
      <c r="C24" t="str">
        <f>Framework_Reference!C18</f>
        <v>ACoS vs Constraint Alignment</v>
      </c>
      <c r="D24" t="str">
        <f>Framework_Reference!D18</f>
        <v>OK</v>
      </c>
      <c r="E24">
        <f>Framework_Reference!N18</f>
        <v>-13</v>
      </c>
      <c r="F24">
        <f t="shared" si="1"/>
        <v>0</v>
      </c>
    </row>
    <row r="25" spans="1:6" x14ac:dyDescent="0.3">
      <c r="A25" t="str">
        <f>Framework_Reference!A19</f>
        <v>Budget &amp; Bid Strategy</v>
      </c>
      <c r="B25" t="str">
        <f>Framework_Reference!B19</f>
        <v>F018</v>
      </c>
      <c r="C25" t="str">
        <f>Framework_Reference!C19</f>
        <v>Budget vs MRR Alignment</v>
      </c>
      <c r="D25" t="str">
        <f>Framework_Reference!D19</f>
        <v>OK</v>
      </c>
      <c r="E25">
        <f>Framework_Reference!N19</f>
        <v>-11</v>
      </c>
      <c r="F25">
        <f t="shared" si="1"/>
        <v>0</v>
      </c>
    </row>
    <row r="26" spans="1:6" x14ac:dyDescent="0.3">
      <c r="A26" t="str">
        <f>Framework_Reference!A20</f>
        <v>Creative &amp; Feed</v>
      </c>
      <c r="B26" t="str">
        <f>Framework_Reference!B20</f>
        <v>F019</v>
      </c>
      <c r="C26" t="str">
        <f>Framework_Reference!C20</f>
        <v>Feed Product Availability</v>
      </c>
      <c r="D26" t="str">
        <f>Framework_Reference!D20</f>
        <v>OK</v>
      </c>
      <c r="E26">
        <f>Framework_Reference!N20</f>
        <v>-18</v>
      </c>
      <c r="F26">
        <f t="shared" si="1"/>
        <v>0</v>
      </c>
    </row>
    <row r="27" spans="1:6" x14ac:dyDescent="0.3">
      <c r="A27" t="str">
        <f>Framework_Reference!A21</f>
        <v>Creative &amp; Feed</v>
      </c>
      <c r="B27" t="str">
        <f>Framework_Reference!B21</f>
        <v>F020</v>
      </c>
      <c r="C27" t="str">
        <f>Framework_Reference!C21</f>
        <v>Price Competitiveness</v>
      </c>
      <c r="D27" t="str">
        <f>Framework_Reference!D21</f>
        <v>OK</v>
      </c>
      <c r="E27">
        <f>Framework_Reference!N21</f>
        <v>-9</v>
      </c>
      <c r="F27">
        <f t="shared" si="1"/>
        <v>0</v>
      </c>
    </row>
    <row r="28" spans="1:6" x14ac:dyDescent="0.3">
      <c r="A28" t="str">
        <f>Framework_Reference!A22</f>
        <v>Creative &amp; Feed</v>
      </c>
      <c r="B28" t="str">
        <f>Framework_Reference!B22</f>
        <v>F021</v>
      </c>
      <c r="C28" t="str">
        <f>Framework_Reference!C22</f>
        <v>PMAX Channel Distribution</v>
      </c>
      <c r="D28" t="str">
        <f>Framework_Reference!D22</f>
        <v>OK</v>
      </c>
      <c r="E28">
        <f>Framework_Reference!N22</f>
        <v>-9</v>
      </c>
      <c r="F28">
        <f t="shared" si="1"/>
        <v>0</v>
      </c>
    </row>
    <row r="29" spans="1:6" x14ac:dyDescent="0.3">
      <c r="A29" t="str">
        <f>Framework_Reference!A23</f>
        <v>Creative &amp; Feed</v>
      </c>
      <c r="B29" t="str">
        <f>Framework_Reference!B23</f>
        <v>F022</v>
      </c>
      <c r="C29" t="str">
        <f>Framework_Reference!C23</f>
        <v>Ad Extensions — Sitelinks</v>
      </c>
      <c r="D29" t="str">
        <f>Framework_Reference!D23</f>
        <v>OK</v>
      </c>
      <c r="E29">
        <f>Framework_Reference!N23</f>
        <v>-9</v>
      </c>
      <c r="F29">
        <f t="shared" si="1"/>
        <v>0</v>
      </c>
    </row>
    <row r="30" spans="1:6" x14ac:dyDescent="0.3">
      <c r="A30" t="str">
        <f>Framework_Reference!A24</f>
        <v>Creative &amp; Feed</v>
      </c>
      <c r="B30" t="str">
        <f>Framework_Reference!B24</f>
        <v>F023</v>
      </c>
      <c r="C30" t="str">
        <f>Framework_Reference!C24</f>
        <v>Ad Extensions — Structured Snippets</v>
      </c>
      <c r="D30" t="str">
        <f>Framework_Reference!D24</f>
        <v>OK</v>
      </c>
      <c r="E30">
        <f>Framework_Reference!N24</f>
        <v>-5</v>
      </c>
      <c r="F30">
        <f t="shared" si="1"/>
        <v>0</v>
      </c>
    </row>
    <row r="31" spans="1:6" x14ac:dyDescent="0.3">
      <c r="A31" t="str">
        <f>Framework_Reference!A25</f>
        <v>Creative &amp; Feed</v>
      </c>
      <c r="B31" t="str">
        <f>Framework_Reference!B25</f>
        <v>F024</v>
      </c>
      <c r="C31" t="str">
        <f>Framework_Reference!C25</f>
        <v>Ad Extensions — Callouts</v>
      </c>
      <c r="D31" t="str">
        <f>Framework_Reference!D25</f>
        <v>OK</v>
      </c>
      <c r="E31">
        <f>Framework_Reference!N25</f>
        <v>-5</v>
      </c>
      <c r="F31">
        <f t="shared" si="1"/>
        <v>0</v>
      </c>
    </row>
    <row r="32" spans="1:6" x14ac:dyDescent="0.3">
      <c r="A32" t="str">
        <f>Framework_Reference!A26</f>
        <v>Creative &amp; Feed</v>
      </c>
      <c r="B32" t="str">
        <f>Framework_Reference!B26</f>
        <v>F025</v>
      </c>
      <c r="C32" t="str">
        <f>Framework_Reference!C26</f>
        <v>Business Name Configured</v>
      </c>
      <c r="D32" t="str">
        <f>Framework_Reference!D26</f>
        <v>OK</v>
      </c>
      <c r="E32">
        <f>Framework_Reference!N26</f>
        <v>-5</v>
      </c>
      <c r="F32">
        <f t="shared" si="1"/>
        <v>0</v>
      </c>
    </row>
    <row r="33" spans="1:6" x14ac:dyDescent="0.3">
      <c r="A33" t="str">
        <f>Framework_Reference!A27</f>
        <v>Creative &amp; Feed</v>
      </c>
      <c r="B33" t="str">
        <f>Framework_Reference!B27</f>
        <v>F026</v>
      </c>
      <c r="C33" t="str">
        <f>Framework_Reference!C27</f>
        <v>Logos Approved</v>
      </c>
      <c r="D33" t="str">
        <f>Framework_Reference!D27</f>
        <v>OK</v>
      </c>
      <c r="E33">
        <f>Framework_Reference!N27</f>
        <v>-7</v>
      </c>
      <c r="F33">
        <f t="shared" si="1"/>
        <v>0</v>
      </c>
    </row>
    <row r="34" spans="1:6" x14ac:dyDescent="0.3">
      <c r="A34" t="str">
        <f>Framework_Reference!A28</f>
        <v>Creative &amp; Feed</v>
      </c>
      <c r="B34" t="str">
        <f>Framework_Reference!B28</f>
        <v>F027</v>
      </c>
      <c r="C34" t="str">
        <f>Framework_Reference!C28</f>
        <v>Ad Strength</v>
      </c>
      <c r="D34" t="str">
        <f>Framework_Reference!D28</f>
        <v>OK</v>
      </c>
      <c r="E34">
        <f>Framework_Reference!N28</f>
        <v>-9</v>
      </c>
      <c r="F34">
        <f t="shared" si="1"/>
        <v>0</v>
      </c>
    </row>
    <row r="35" spans="1:6" x14ac:dyDescent="0.3">
      <c r="A35" t="str">
        <f>Framework_Reference!A29</f>
        <v>Creative &amp; Feed</v>
      </c>
      <c r="B35" t="str">
        <f>Framework_Reference!B29</f>
        <v>F028</v>
      </c>
      <c r="C35" t="str">
        <f>Framework_Reference!C29</f>
        <v>DPL Coverage</v>
      </c>
      <c r="D35" t="str">
        <f>Framework_Reference!D29</f>
        <v>OK</v>
      </c>
      <c r="E35">
        <f>Framework_Reference!N29</f>
        <v>-9</v>
      </c>
      <c r="F35">
        <f t="shared" si="1"/>
        <v>0</v>
      </c>
    </row>
    <row r="36" spans="1:6" x14ac:dyDescent="0.3">
      <c r="A36" t="str">
        <f>Framework_Reference!A30</f>
        <v>Creative &amp; Feed</v>
      </c>
      <c r="B36" t="str">
        <f>Framework_Reference!B30</f>
        <v>F029</v>
      </c>
      <c r="C36" t="str">
        <f>Framework_Reference!C30</f>
        <v>Product Type Coverage in Feed</v>
      </c>
      <c r="D36" t="str">
        <f>Framework_Reference!D30</f>
        <v>OK</v>
      </c>
      <c r="E36">
        <f>Framework_Reference!N30</f>
        <v>-7</v>
      </c>
      <c r="F36">
        <f t="shared" si="1"/>
        <v>0</v>
      </c>
    </row>
    <row r="37" spans="1:6" x14ac:dyDescent="0.3">
      <c r="A37" t="str">
        <f>Framework_Reference!A31</f>
        <v>Creative &amp; Feed</v>
      </c>
      <c r="B37" t="str">
        <f>Framework_Reference!B31</f>
        <v>F030</v>
      </c>
      <c r="C37" t="str">
        <f>Framework_Reference!C31</f>
        <v>PMAX Listing Group Eligible</v>
      </c>
      <c r="D37" t="str">
        <f>Framework_Reference!D31</f>
        <v>OK</v>
      </c>
      <c r="E37">
        <f>Framework_Reference!N31</f>
        <v>-9</v>
      </c>
      <c r="F37">
        <f t="shared" si="1"/>
        <v>0</v>
      </c>
    </row>
    <row r="38" spans="1:6" x14ac:dyDescent="0.3">
      <c r="A38" t="str">
        <f>Framework_Reference!A32</f>
        <v>Creative &amp; Feed</v>
      </c>
      <c r="B38" t="str">
        <f>Framework_Reference!B32</f>
        <v>F031</v>
      </c>
      <c r="C38" t="str">
        <f>Framework_Reference!C32</f>
        <v>Shopping Campaign Priority</v>
      </c>
      <c r="D38" t="str">
        <f>Framework_Reference!D32</f>
        <v>OK</v>
      </c>
      <c r="E38">
        <f>Framework_Reference!N32</f>
        <v>-13</v>
      </c>
      <c r="F38">
        <f t="shared" si="1"/>
        <v>0</v>
      </c>
    </row>
    <row r="39" spans="1:6" x14ac:dyDescent="0.3">
      <c r="A39" t="str">
        <f>Framework_Reference!A33</f>
        <v>Creative &amp; Feed</v>
      </c>
      <c r="B39" t="str">
        <f>Framework_Reference!B33</f>
        <v>F032</v>
      </c>
      <c r="C39" t="str">
        <f>Framework_Reference!C33</f>
        <v>Quartile Keyword Expander Enabled</v>
      </c>
      <c r="D39" t="str">
        <f>Framework_Reference!D33</f>
        <v>OK</v>
      </c>
      <c r="E39">
        <f>Framework_Reference!N33</f>
        <v>-7</v>
      </c>
      <c r="F39">
        <f t="shared" ref="F39:F49" si="2">IF(D39="FLAG",E39,IF(D39="PARTIAL",E39*0.5,0))</f>
        <v>0</v>
      </c>
    </row>
    <row r="40" spans="1:6" x14ac:dyDescent="0.3">
      <c r="A40" t="str">
        <f>Framework_Reference!A34</f>
        <v>Audience &amp; Funnel</v>
      </c>
      <c r="B40" t="str">
        <f>Framework_Reference!B34</f>
        <v>F033</v>
      </c>
      <c r="C40" t="str">
        <f>Framework_Reference!C34</f>
        <v>Full Funnel Channel Coverage</v>
      </c>
      <c r="D40" t="str">
        <f>Framework_Reference!D34</f>
        <v>OK</v>
      </c>
      <c r="E40">
        <f>Framework_Reference!N34</f>
        <v>-13</v>
      </c>
      <c r="F40">
        <f t="shared" si="2"/>
        <v>0</v>
      </c>
    </row>
    <row r="41" spans="1:6" x14ac:dyDescent="0.3">
      <c r="A41" t="str">
        <f>Framework_Reference!A35</f>
        <v>Audience &amp; Funnel</v>
      </c>
      <c r="B41" t="str">
        <f>Framework_Reference!B35</f>
        <v>F034</v>
      </c>
      <c r="C41" t="str">
        <f>Framework_Reference!C35</f>
        <v>PMAX Audience Requirements</v>
      </c>
      <c r="D41" t="str">
        <f>Framework_Reference!D35</f>
        <v>OK</v>
      </c>
      <c r="E41">
        <f>Framework_Reference!N35</f>
        <v>-13</v>
      </c>
      <c r="F41">
        <f t="shared" si="2"/>
        <v>0</v>
      </c>
    </row>
    <row r="42" spans="1:6" x14ac:dyDescent="0.3">
      <c r="A42" t="str">
        <f>Framework_Reference!A36</f>
        <v>Audience &amp; Funnel</v>
      </c>
      <c r="B42" t="str">
        <f>Framework_Reference!B36</f>
        <v>F035</v>
      </c>
      <c r="C42" t="str">
        <f>Framework_Reference!C36</f>
        <v>PMAX Search Themes</v>
      </c>
      <c r="D42" t="str">
        <f>Framework_Reference!D36</f>
        <v>OK</v>
      </c>
      <c r="E42">
        <f>Framework_Reference!N36</f>
        <v>-9</v>
      </c>
      <c r="F42">
        <f t="shared" si="2"/>
        <v>0</v>
      </c>
    </row>
    <row r="43" spans="1:6" x14ac:dyDescent="0.3">
      <c r="A43" t="str">
        <f>Framework_Reference!A37</f>
        <v>Audience &amp; Funnel</v>
      </c>
      <c r="B43" t="str">
        <f>Framework_Reference!B37</f>
        <v>F036</v>
      </c>
      <c r="C43" t="str">
        <f>Framework_Reference!C37</f>
        <v>Device Performance Imbalance</v>
      </c>
      <c r="D43" t="str">
        <f>Framework_Reference!D37</f>
        <v>OK</v>
      </c>
      <c r="E43">
        <f>Framework_Reference!N37</f>
        <v>-9</v>
      </c>
      <c r="F43">
        <f t="shared" si="2"/>
        <v>0</v>
      </c>
    </row>
    <row r="44" spans="1:6" x14ac:dyDescent="0.3">
      <c r="A44" t="str">
        <f>Framework_Reference!A38</f>
        <v>Audience &amp; Funnel</v>
      </c>
      <c r="B44" t="str">
        <f>Framework_Reference!B38</f>
        <v>F037</v>
      </c>
      <c r="C44" t="str">
        <f>Framework_Reference!C38</f>
        <v>Geo Spend Concentration</v>
      </c>
      <c r="D44" t="str">
        <f>Framework_Reference!D38</f>
        <v>OK</v>
      </c>
      <c r="E44">
        <f>Framework_Reference!N38</f>
        <v>-7</v>
      </c>
      <c r="F44">
        <f t="shared" si="2"/>
        <v>0</v>
      </c>
    </row>
    <row r="45" spans="1:6" x14ac:dyDescent="0.3">
      <c r="A45" t="str">
        <f>Framework_Reference!A39</f>
        <v>Audience &amp; Funnel</v>
      </c>
      <c r="B45" t="str">
        <f>Framework_Reference!B39</f>
        <v>F038</v>
      </c>
      <c r="C45" t="str">
        <f>Framework_Reference!C39</f>
        <v>MultiChannel Product Coverage</v>
      </c>
      <c r="D45" t="str">
        <f>Framework_Reference!D39</f>
        <v>OK</v>
      </c>
      <c r="E45">
        <f>Framework_Reference!N39</f>
        <v>-5</v>
      </c>
      <c r="F45">
        <f t="shared" si="2"/>
        <v>0</v>
      </c>
    </row>
    <row r="46" spans="1:6" x14ac:dyDescent="0.3">
      <c r="A46" t="str">
        <f>Framework_Reference!A40</f>
        <v>Automation &amp; Measurement</v>
      </c>
      <c r="B46" t="str">
        <f>Framework_Reference!B40</f>
        <v>F039</v>
      </c>
      <c r="C46" t="str">
        <f>Framework_Reference!C40</f>
        <v>Conversion Tracking Active</v>
      </c>
      <c r="D46" t="str">
        <f>Framework_Reference!D40</f>
        <v>OK</v>
      </c>
      <c r="E46">
        <f>Framework_Reference!N40</f>
        <v>-18</v>
      </c>
      <c r="F46">
        <f t="shared" si="2"/>
        <v>0</v>
      </c>
    </row>
    <row r="47" spans="1:6" x14ac:dyDescent="0.3">
      <c r="A47" t="str">
        <f>Framework_Reference!A41</f>
        <v>Automation &amp; Measurement</v>
      </c>
      <c r="B47" t="str">
        <f>Framework_Reference!B41</f>
        <v>F040</v>
      </c>
      <c r="C47" t="str">
        <f>Framework_Reference!C41</f>
        <v>YoY ACoS Trend</v>
      </c>
      <c r="D47" t="str">
        <f>Framework_Reference!D41</f>
        <v>OK</v>
      </c>
      <c r="E47">
        <f>Framework_Reference!N41</f>
        <v>-13</v>
      </c>
      <c r="F47">
        <f t="shared" si="2"/>
        <v>0</v>
      </c>
    </row>
    <row r="48" spans="1:6" x14ac:dyDescent="0.3">
      <c r="A48" t="str">
        <f>Framework_Reference!A42</f>
        <v>Automation &amp; Measurement</v>
      </c>
      <c r="B48" t="str">
        <f>Framework_Reference!B42</f>
        <v>F041</v>
      </c>
      <c r="C48" t="str">
        <f>Framework_Reference!C42</f>
        <v>PoP Spend Variance</v>
      </c>
      <c r="D48" t="str">
        <f>Framework_Reference!D42</f>
        <v>OK</v>
      </c>
      <c r="E48">
        <f>Framework_Reference!N42</f>
        <v>-9</v>
      </c>
      <c r="F48">
        <f t="shared" si="2"/>
        <v>0</v>
      </c>
    </row>
    <row r="49" spans="1:6" x14ac:dyDescent="0.3">
      <c r="A49" t="str">
        <f>Framework_Reference!A43</f>
        <v>Automation &amp; Measurement</v>
      </c>
      <c r="B49" t="str">
        <f>Framework_Reference!B43</f>
        <v>F042</v>
      </c>
      <c r="C49" t="str">
        <f>Framework_Reference!C43</f>
        <v>Manual QR Review</v>
      </c>
      <c r="D49" t="str">
        <f>Framework_Reference!D43</f>
        <v>OK</v>
      </c>
      <c r="E49">
        <f>Framework_Reference!N43</f>
        <v>-13</v>
      </c>
      <c r="F49">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Framework_Analysis</vt:lpstr>
      <vt:lpstr>Framework_Reference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2026-05-26T12:43:07Z</dcterms:modified>
</cp:coreProperties>
</file>