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GOOGLE FULL ANALYSIS/COE-FULL-GOOGLE-ANALYSIS-main/templates/"/>
    </mc:Choice>
  </mc:AlternateContent>
  <xr:revisionPtr revIDLastSave="249" documentId="8_{3E3918C5-82FD-409A-9152-AF36AD84C91A}" xr6:coauthVersionLast="47" xr6:coauthVersionMax="47" xr10:uidLastSave="{6F18E466-0C6A-4BAB-94F3-2D64C820FF2A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externalReferences>
    <externalReference r:id="rId4"/>
  </externalReference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2" l="1"/>
  <c r="M28" i="2"/>
  <c r="O27" i="2"/>
  <c r="M27" i="2"/>
  <c r="M25" i="2" l="1"/>
  <c r="O25" i="2"/>
  <c r="M26" i="2"/>
  <c r="O26" i="2"/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7" i="2"/>
  <c r="E13" i="3" s="1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6" i="1" l="1" a="1"/>
  <c r="A16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<sst xmlns="http://schemas.openxmlformats.org/spreadsheetml/2006/main" count="348" uniqueCount="273">
  <si>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</si>
  <si>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</si>
  <si>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</si>
  <si>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</si>
  <si>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</si>
  <si>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</si>
  <si>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</si>
  <si>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</si>
  <si>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</si>
  <si>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</si>
  <si>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</si>
  <si>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</si>
  <si>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</si>
  <si>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</si>
  <si>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</si>
  <si>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</si>
  <si>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</si>
  <si>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</si>
  <si>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</si>
  <si>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</si>
  <si>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</si>
  <si>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</si>
  <si>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</si>
  <si>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</si>
  <si>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</si>
  <si>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</si>
  <si>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</si>
  <si>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</si>
  <si>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</si>
  <si>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</si>
  <si>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</si>
  <si>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</si>
  <si>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</si>
  <si>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</si>
  <si>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</si>
  <si>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</si>
  <si>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</si>
  <si>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</si>
  <si>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 xml:space="preserve">Account Health Version &gt; </t>
  </si>
  <si>
    <t>53588A - US - ZooPro — Account Health Analysis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</si>
  <si>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</si>
  <si>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</si>
  <si>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</si>
  <si>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</si>
  <si>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</si>
  <si>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</si>
  <si>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</si>
  <si>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</si>
  <si>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</si>
  <si>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</si>
  <si>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</si>
  <si>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</si>
  <si>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</si>
  <si>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</si>
  <si>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Account Health  Grade</t>
  </si>
  <si>
    <t>v1.0</t>
  </si>
  <si>
    <t>KPI Performance</t>
  </si>
  <si>
    <t>ROAS vs Target</t>
  </si>
  <si>
    <t>Spend Pacing vs Monthly Budget</t>
  </si>
  <si>
    <t>Revenue (AdSales) YoY</t>
  </si>
  <si>
    <t>Orders / Conversions YoY</t>
  </si>
  <si>
    <t>ACoS Trend YoY</t>
  </si>
  <si>
    <t>CPC Trend YoY</t>
  </si>
  <si>
    <t>Efficiency Trends</t>
  </si>
  <si>
    <t>CTR Trend YoY</t>
  </si>
  <si>
    <t>Conversion Rate Trend YoY</t>
  </si>
  <si>
    <t>MoM Revenue Trend (L3M)</t>
  </si>
  <si>
    <t>MoM ACoS Trend (L3M)</t>
  </si>
  <si>
    <t>Campaign &amp; Channel Health</t>
  </si>
  <si>
    <t>PMAX Shopping Spend Share</t>
  </si>
  <si>
    <t>Channel Type Mix (PMAX / Search / Shopping)</t>
  </si>
  <si>
    <t>Zero-Spend Active Campaign Rate</t>
  </si>
  <si>
    <t>Product &amp; Feed Health</t>
  </si>
  <si>
    <t>Price Competitiveness Score</t>
  </si>
  <si>
    <t>Top 5 Products Revenue Concentration</t>
  </si>
  <si>
    <t>Device Performance Split (Desktop vs Mobile)</t>
  </si>
  <si>
    <t>Account Infrastructure</t>
  </si>
  <si>
    <t>Billing Status</t>
  </si>
  <si>
    <t>Churn Risk Signal</t>
  </si>
  <si>
    <t>QR Score</t>
  </si>
  <si>
    <t>MRR vs Monthly Budget Ratio</t>
  </si>
  <si>
    <t>Manual Review</t>
  </si>
  <si>
    <t>Conversion Tag Health</t>
  </si>
  <si>
    <t>GMC + GA4 Connection</t>
  </si>
  <si>
    <t>Product Disapproval Rate</t>
  </si>
  <si>
    <t>Compare actual ROAS for the evaluation window against the target ROAS defined in Salesforce.</t>
  </si>
  <si>
    <t>ROAS is the primary efficiency signal for Google accounts. Consistent underdelivery vs target signals bid strategy or budget misalignment.</t>
  </si>
  <si>
    <t>Tab 22_Client_Success: Primary_Spend_KPI__c (col 75), acos/tacos (col 76-77). Tab 02_Date_Range_KPIs: AdSpend / AdSales (row 7).</t>
  </si>
  <si>
    <t>Observed: Actual ROAS = {Actual_ROAS}x vs target {Target_ROAS}x ({Delta_pct}% to goal).</t>
  </si>
  <si>
    <t>Missing or breaching the ROAS target signals the account is not delivering against client expectations, increasing churn risk.</t>
  </si>
  <si>
    <t>22_Client_Success + 02_Date_Range_KPIs</t>
  </si>
  <si>
    <t>Measure actual spend against the monthly budget target defined in Salesforce, prorated to the evaluation window.</t>
  </si>
  <si>
    <t>Underpacing wastes opportunity; overpacing risks client overspend. Both signal budget management issues.</t>
  </si>
  <si>
    <t>Tab 22_Client_Success: Monthly_Budget__c (col 36) and Monthly_Budget_{Month}__c (cols 54-65). Tab 02_Date_Range_KPIs: AdSpend (col 5, row 7).</t>
  </si>
  <si>
    <t>Observed: Spend pacing at {Spend_vs_Budget_pct}% of prorated monthly budget ({Actual_Spend} vs {Expected_Spend}).</t>
  </si>
  <si>
    <t>Budget pacing determines whether the account is investing at the level required to hit revenue targets.</t>
  </si>
  <si>
    <t>Compare AdSales for the current period vs the same period last year.</t>
  </si>
  <si>
    <t>Remove seasonality distortion and measure true revenue trajectory. YoY is the most reliable signal of structural performance.</t>
  </si>
  <si>
    <t>Tab 03_Yearly_KPIs__Current_vs_Last: AdSales row — ThisPeriod, PreviousPeriod, YoY columns.</t>
  </si>
  <si>
    <t>Observed: AdSales changed {Revenue_YoY_pct}% YoY ({Prev_AdSales} → {Curr_AdSales}).</t>
  </si>
  <si>
    <t>YoY revenue decline signals structural deterioration in campaign performance, not just seasonal noise.</t>
  </si>
  <si>
    <t>03_Yearly_KPIs__Current_vs_Last</t>
  </si>
  <si>
    <t>Compare order volume for the current period vs same period last year.</t>
  </si>
  <si>
    <t>Orders YoY isolates demand volume independent of pricing and AOV changes. A drop in orders is a pure demand signal.</t>
  </si>
  <si>
    <t>Tab 03_Yearly_KPIs__Current_vs_Last: Orders row — ThisPeriod, PreviousPeriod, YoY columns.</t>
  </si>
  <si>
    <t>Observed: Orders changed {Orders_YoY_pct}% YoY ({Prev_Orders} → {Curr_Orders}).</t>
  </si>
  <si>
    <t>Order volume decline indicates weakening demand capture — requires investigation into bidding, targeting, or product availability.</t>
  </si>
  <si>
    <t>Measure YoY change in Advertising Cost of Sale (ACoS = AdSpend / AdSales).</t>
  </si>
  <si>
    <t>ACoS efficiency is the core profitability signal. Rising ACoS YoY means the account is becoming less efficient over time.</t>
  </si>
  <si>
    <t>Tab 03_Yearly_KPIs__Current_vs_Last: ACoS row — ThisPeriod, PreviousPeriod, YoY columns.</t>
  </si>
  <si>
    <t>Observed: ACoS changed {ACoS_YoY_pp}pp YoY ({Prev_ACoS}% → {Curr_ACoS}%).</t>
  </si>
  <si>
    <t>ACoS deterioration compresses client margins and directly increases risk of budget reduction or churn.</t>
  </si>
  <si>
    <t>Measure YoY change in Cost Per Click.</t>
  </si>
  <si>
    <t>CPC inflation is the primary indicator of auction pressure. Rising CPC with flat or declining CVR directly compresses ROAS.</t>
  </si>
  <si>
    <t>Tab 03_Yearly_KPIs__Current_vs_Last: CPC row — ThisPeriod, PreviousPeriod, YoY columns.</t>
  </si>
  <si>
    <t>Observed: CPC changed {CPC_YoY_pct}% YoY ({Prev_CPC} → {Curr_CPC}).</t>
  </si>
  <si>
    <t>CPC increases raise the cost of traffic acquisition. If not offset by CVR or AOV improvement, ROAS degrades.</t>
  </si>
  <si>
    <t>Measure YoY change in Click-Through Rate.</t>
  </si>
  <si>
    <t>CTR decline signals creative fatigue, ad relevance issues, or competitive displacement in the auction.</t>
  </si>
  <si>
    <t>Tab 03_Yearly_KPIs__Current_vs_Last: CTR row — ThisPeriod, PreviousPeriod, YoY columns.</t>
  </si>
  <si>
    <t>Observed: CTR changed {CTR_YoY_pct}% YoY ({Prev_CTR}% → {Curr_CTR}%).</t>
  </si>
  <si>
    <t>Lower CTR reduces traffic volume for a given budget, driving up effective CPA and suppressing revenue.</t>
  </si>
  <si>
    <t>Measure YoY change in Conversion Rate (Orders / Clicks).</t>
  </si>
  <si>
    <t>CVR is the clearest signal of landing page, product, or audience quality. Declining CVR inflates CPA regardless of bidding.</t>
  </si>
  <si>
    <t>Tab 03_Yearly_KPIs__Current_vs_Last: CR row — ThisPeriod, PreviousPeriod, YoY columns.</t>
  </si>
  <si>
    <t>Observed: CVR changed {CVR_YoY_pct}% YoY ({Prev_CVR}% → {Curr_CVR}%).</t>
  </si>
  <si>
    <t>CVR decline means more spend is required per conversion. Combined with rising CPC, this compounds cost pressure.</t>
  </si>
  <si>
    <t>Evaluate the directional revenue trend across the last 3 completed months (Month-over-Month).</t>
  </si>
  <si>
    <t>MoM trend catches short-term deterioration before it appears in YoY data. Three consecutive negative months = structural flag.</t>
  </si>
  <si>
    <t>Tab 04_L24M_Monthly_Performance_Sum: AdSales column — last 3 completed months by Month field.</t>
  </si>
  <si>
    <t>Observed: L3M revenue trend — {Month1}: {Rev1}, {Month2}: {Rev2}, {Month3}: {Rev3}. Trend: {Direction}.</t>
  </si>
  <si>
    <t>A 3-month declining trajectory signals the account is losing momentum and requires strategic intervention.</t>
  </si>
  <si>
    <t>04_L24M_Monthly_Performance_Sum</t>
  </si>
  <si>
    <t>Evaluate the directional ACoS trend across the last 3 completed months.</t>
  </si>
  <si>
    <t>Rising ACoS across 3 consecutive months signals compounding efficiency erosion, not a one-time fluctuation.</t>
  </si>
  <si>
    <t>Tab 04_L24M_Monthly_Performance_Sum: ACoS column — last 3 completed months by Month field.</t>
  </si>
  <si>
    <t>Observed: L3M ACoS trend — {Month1}: {ACoS1}%, {Month2}: {ACoS2}%, {Month3}: {ACoS3}%. Trend: {Direction}.</t>
  </si>
  <si>
    <t>ACoS trending upward over 3 months signals the account is becoming progressively less efficient.</t>
  </si>
  <si>
    <t>Measure the percentage of total PMAX spend allocated to the Shopping channel type.</t>
  </si>
  <si>
    <t>PMAX campaigns should be Shopping-dominant (60-80%+ of spend on PLA). High Display/Video spend without Shopping signals misallocation.</t>
  </si>
  <si>
    <t>Tab 18_PMAX_Channels: filter FieldType = SHOPPING, sum Cost vs total Cost per campaign. Aggregate across all PMAX campaigns.</t>
  </si>
  <si>
    <t>Observed: Shopping represents {Shopping_pct}% of total PMAX spend ({Shopping_spend} of {Total_PMAX_spend}).</t>
  </si>
  <si>
    <t>PMAX Shopping underinvestment means budget leaks into Display/Video where intent and ROAS are typically lower for e-commerce.</t>
  </si>
  <si>
    <t>18_PMAX_Channels</t>
  </si>
  <si>
    <t>Evaluate spend and sales distribution across PMAX, Search, and Shopping campaign types.</t>
  </si>
  <si>
    <t>A healthy Google account for e-commerce needs a strategic channel mix. Overconcentration in one type creates structural risk.</t>
  </si>
  <si>
    <t>Tab 07_Campaigns_by_Channel_Type: AdvertisingChannelType, Spend, Perc_Spend, Sales columns (row 7+).</t>
  </si>
  <si>
    <t>Observed: PMAX {PMAX_spend_pct}% of spend / Search {Search_spend_pct}% / Shopping {Shopping_spend_pct}%.</t>
  </si>
  <si>
    <t>Channel imbalance (e.g. 90%+ in PMAX) limits targeting control and makes performance diagnostics harder.</t>
  </si>
  <si>
    <t>07_Campaigns_by_Channel_Type</t>
  </si>
  <si>
    <t>Calculate the percentage of active campaigns that recorded zero spend during the evaluation window.</t>
  </si>
  <si>
    <t>Active campaigns with zero spend indicate structural issues: paused bids, exhausted budgets, disapprovals, or feed errors.</t>
  </si>
  <si>
    <t>Tab 13_Campaign_Gold_Metrics: group by CampaignId, sum Cost. Cross-reference with 14_Campaign_Metadata for active status.</t>
  </si>
  <si>
    <t>Observed: {Zero_spend_count} of {Active_campaign_count} active campaigns ({Zero_spend_pct}%) recorded zero spend.</t>
  </si>
  <si>
    <t>Zero-spend active campaigns waste account structure and drag Quality Scores. Each one is a silent failure point.</t>
  </si>
  <si>
    <t>13_Campaign_Gold_Metrics + 14_Campaign_Metadata</t>
  </si>
  <si>
    <t>Measure the percentage of products priced above the benchmark (competitor) price.</t>
  </si>
  <si>
    <t>Products priced above benchmark lose Shopping auction impressions and clicks. Price gap is a direct ROAS driver.</t>
  </si>
  <si>
    <t>Tab 20_Price_Competitiveness: compare price vs benchmark_price per item_id. Count items where price &gt; benchmark_price.</t>
  </si>
  <si>
    <t>Observed: {Above_benchmark_count} of {Total_products_with_benchmark} products ({Above_benchmark_pct}%) priced above benchmark.</t>
  </si>
  <si>
    <t>Being priced above benchmark reduces Shopping eligibility and conversion rate, directly degrading campaign ROAS.</t>
  </si>
  <si>
    <t>20_Price_Competitiveness</t>
  </si>
  <si>
    <t>Measure the revenue share of the top 5 products (by AdSales) vs total account AdSales.</t>
  </si>
  <si>
    <t>High product concentration exposes the account to SKU-level risk. A single top product going out of stock collapses revenue.</t>
  </si>
  <si>
    <t>Tab 08_Product_Shopping_Report: rank by Sales descending, sum top 5 Sales / total Sales.</t>
  </si>
  <si>
    <t>Observed: Top 5 products represent {Top5_pct}% of total AdSales ({Top5_sales} of {Total_sales}).</t>
  </si>
  <si>
    <t>Extreme concentration (80%+) in 5 SKUs means a single product issue cascades into an account-level performance event.</t>
  </si>
  <si>
    <t>08_Product_Shopping_Report</t>
  </si>
  <si>
    <t>Compare ROAS and spend distribution across Desktop, Mobile, and Tablet.</t>
  </si>
  <si>
    <t>Strong mobile spend with zero conversions signals device bid adjustments are missing or need correction.</t>
  </si>
  <si>
    <t>Tab 16_Device_Breakdown: Device, Spend, Orders, Sales columns. Calculate ROAS per device.</t>
  </si>
  <si>
    <t>Observed: Desktop — Spend {Desktop_spend}, ROAS {Desktop_ROAS}x. Mobile — Spend {Mobile_spend}, ROAS {Mobile_ROAS}x.</t>
  </si>
  <si>
    <t>Mobile spend with poor conversion rate inflates CPA and depresses account-level ROAS without proactive device exclusions.</t>
  </si>
  <si>
    <t>16_Device_Breakdown</t>
  </si>
  <si>
    <t>Confirm the Stripe subscription is active and no payment failure flags exist.</t>
  </si>
  <si>
    <t>A billing issue will pause the account. Early detection prevents campaign downtime and protects the client relationship.</t>
  </si>
  <si>
    <t>Tab 15_Stripe_and_Account_Info: status column (col 14, row 7). Flag if not 'active'.</t>
  </si>
  <si>
    <t>Observed: Billing status = {Billing_status}. Subscription: {Subscription_status}. Last payment: {Last_payment_date}.</t>
  </si>
  <si>
    <t>Billing failures pause all campaigns instantly. This is a zero-tolerance infrastructure control.</t>
  </si>
  <si>
    <t>15_Stripe_and_Account_Info</t>
  </si>
  <si>
    <t>Evaluate churn risk using CSM_Churn_Risk__c and Customer_Risk__c from Salesforce.</t>
  </si>
  <si>
    <t>Churn risk flags from CS are the earliest available warning signal before performance issues escalate.</t>
  </si>
  <si>
    <t>Tab 22_Client_Success: CSM_Churn_Risk__c (col 69), Customer_Risk__c (col 29), Account_Risk_Score__c (col 71). Take most recent row.</t>
  </si>
  <si>
    <t>Observed: CSM Churn Risk = {CSM_Churn_Risk}. Customer Risk = {Customer_Risk}. Account Risk Score = {Account_Risk_Score}.</t>
  </si>
  <si>
    <t>Undetected churn risk leads to surprise cancellations. CS-flagged risk should trigger proactive intervention immediately.</t>
  </si>
  <si>
    <t>22_Client_Success</t>
  </si>
  <si>
    <t>Read the most recent Quarterly Review score from Salesforce.</t>
  </si>
  <si>
    <t>QR Score is the standardized health signal from the last client review. A low or missing score signals unresolved strategic gaps.</t>
  </si>
  <si>
    <t>Tab 22_Client_Success: Most_Recent_Past_QR_Score__c (col 4), Current_QR_Score__c (col 73). Take most recent row.</t>
  </si>
  <si>
    <t>Observed: Most Recent QR Score = {QR_Score}. Current QR Score = {Current_QR_Score}.</t>
  </si>
  <si>
    <t>A declining QR score reflects deteriorating account health across all pillars. It is the composite client satisfaction signal.</t>
  </si>
  <si>
    <t>Compare the Monthly Recurring Revenue (Quartile fee) against the client's monthly ad budget.</t>
  </si>
  <si>
    <t>An MRR fee disproportionately high vs managed budget flags a structural profitability issue for the client.</t>
  </si>
  <si>
    <t>Tab 22_Client_Success: MRR__c (col 33), Monthly_Budget__c (col 36). Ratio = MRR / Monthly_Budget.</t>
  </si>
  <si>
    <t>Observed: MRR = ${MRR} vs Monthly Budget = ${Monthly_Budget}. Fee ratio = {Fee_pct}% of managed budget.</t>
  </si>
  <si>
    <t>High fee-to-budget ratios erode client ROI on Quartile's service and are a leading indicator of churn.</t>
  </si>
  <si>
    <t>Confirm conversion tags are firing correctly and counting conversions in Google Ads.</t>
  </si>
  <si>
    <t>Without working conversion tracking, Smart Bidding algorithms have no signal and campaigns optimize blindly.</t>
  </si>
  <si>
    <t>Google Ads UI: Tools &gt; Conversions. Check tag status = Active, no 'Inactive' or 'No recent conversions' flags.</t>
  </si>
  <si>
    <t>Observed: Conversion tag status = {Tag_status}. Last conversion recorded: {Last_conversion_date}.</t>
  </si>
  <si>
    <t>Broken conversion tags disable Smart Bidding signal and make all performance data unreliable. Mission-critical control.</t>
  </si>
  <si>
    <t>Google Ads UI — Manual Check</t>
  </si>
  <si>
    <t>Confirm Google Merchant Center and GA4 are linked to the Google Ads account.</t>
  </si>
  <si>
    <t>GMC feeds Shopping campaigns. GA4 provides total sales and audience signals. Both disconnected = blind account.</t>
  </si>
  <si>
    <t>Google Ads UI: Tools &gt; Linked Accounts. Verify GMC link status and GA4 property connection.</t>
  </si>
  <si>
    <t>Observed: GMC linked = {GMC_linked}. GA4 linked = {GA4_linked}.</t>
  </si>
  <si>
    <t>A disconnected GMC pauses all Shopping/PMAX product ads. A missing GA4 link eliminates audience and total-sales reporting.</t>
  </si>
  <si>
    <t>Confirm fewer than 10% of products in Google Merchant Center are disapproved.</t>
  </si>
  <si>
    <t>Disapproved products cannot serve ads. Above 30% disapprovals significantly limits account scale and revenue.</t>
  </si>
  <si>
    <t>GMC UI: Overview &gt; Products Dashboard. Check approved vs disapproved count. Flag if disapproved &gt; 10%.</t>
  </si>
  <si>
    <t>Observed: {Approved_count} approved, {Disapproved_count} disapproved ({Disapproval_pct}% disapproval rate).</t>
  </si>
  <si>
    <t>High disapproval rates directly reduce the addressable product inventory available for Shopping and PMAX campaigns.</t>
  </si>
  <si>
    <t>Google Merchant Center UI — Manual Check</t>
  </si>
  <si>
    <t>H001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</si>
  <si>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</si>
  <si>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</si>
  <si>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</si>
  <si>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</si>
  <si>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</si>
  <si>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</si>
  <si>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</si>
  <si>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</si>
  <si>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</si>
  <si>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</si>
  <si>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</si>
  <si>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</si>
  <si>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</si>
  <si>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</si>
  <si>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</si>
  <si>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</si>
  <si>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</si>
  <si>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</si>
  <si>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</si>
  <si>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</si>
  <si>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</si>
  <si>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</si>
  <si>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 xml:space="preserve">What You Should Do </t>
  </si>
  <si>
    <t>02_Date_Range_KPIs + 15_Stripe_and_Account_Info + 22_Client_Success (Monthly_Budget__c)</t>
  </si>
  <si>
    <t>Consistent underspend or overspend against the declared budget target directly impacts client billing expectations and account growth trajectory — one of the most visible failure points in client satisfaction reviews.</t>
  </si>
  <si>
    <t>Observed: Actual spend = ${actual_spend}. Monthly budget target = ${budget_target}. Variance = {budget_variance}% vs target</t>
  </si>
  <si>
    <t>FLAG if actual spend &lt; 80% or &gt; 110% of monthly budget target. PARTIAL if 80–90% or 105–110%</t>
  </si>
  <si>
    <t>Significant over/underspend signals budget governance failure and creates client-facing billing risk</t>
  </si>
  <si>
    <t>Check monthly spend against budget target from Client Success repo</t>
  </si>
  <si>
    <t xml:space="preserve">Account Health </t>
  </si>
  <si>
    <t>Budget Alignment</t>
  </si>
  <si>
    <t>F018</t>
  </si>
  <si>
    <t>Budget &amp; Bid Strategy</t>
  </si>
  <si>
    <t>02_Date_Range_KPIs + 22_Client_Success (ACOS_Constraint__c)</t>
  </si>
  <si>
    <t>Operating above the declared ACoS constraint without a documented strategic reason signals the account is not being managed against its agreed KPI or that the constraint needs renegotiation — both require CSM action.</t>
  </si>
  <si>
    <t>Observed: Current ACoS = {current_acos}%. Declared constraint = {acos_constraint}%. Variance = {acos_variance}% vs constraint</t>
  </si>
  <si>
    <t>FLAG if current ACoS &gt; constraint × 1.20. PARTIAL if 10–20% above. OK if within tolerance</t>
  </si>
  <si>
    <t>Operating above constraint without documentation signals strategy misalignment or uncommunicated pivots</t>
  </si>
  <si>
    <t>Check current ACoS against declared constraint in Client Success repo</t>
  </si>
  <si>
    <t>ACoS vs Constraint Alignment</t>
  </si>
  <si>
    <t>F017</t>
  </si>
  <si>
    <t>Automation &amp; Measurement</t>
  </si>
  <si>
    <t>F040</t>
  </si>
  <si>
    <t>YoY ACoS Trend</t>
  </si>
  <si>
    <t>Account Health</t>
  </si>
  <si>
    <t>Check ACoS direction year-over-year</t>
  </si>
  <si>
    <t>Degrading ACoS YoY without documented strategic reason = structural inefficiency signal</t>
  </si>
  <si>
    <t>FLAG if YoY ACoS change &gt; +15% (worsening). PARTIAL if +5–15%. OK if flat or improving</t>
  </si>
  <si>
    <t>Observed: Current ACoS = {current_acos}%. Prior year ACoS = {prior_year_acos}%. YoY change = {yoy_acos_change}%</t>
  </si>
  <si>
    <t>A worsening ACoS trend YoY without strategic explanation signals the account is becoming less efficient over time — the opposite of the expected trajectory for a managed account.</t>
  </si>
  <si>
    <t>03_Yearly_KPIs__Current_vs_Last (metric=ACoS, YoY)</t>
  </si>
  <si>
    <t>F041</t>
  </si>
  <si>
    <t>PoP Spend Variance</t>
  </si>
  <si>
    <t>Check period-over-period spend variance within expected bounds</t>
  </si>
  <si>
    <t>Spend variance &gt;30% MoM without seasonal context = budget instability and client-facing billing unpredictability</t>
  </si>
  <si>
    <t>FLAG if spend variance &gt; 30% vs prior period. PARTIAL if 15–30%</t>
  </si>
  <si>
    <t>Observed: Spend variance vs prior period = {spend_variance_pct}%. Current spend = ${current_spend}. Prior period spend = ${prior_spend}</t>
  </si>
  <si>
    <t>Unexplained spend volatility above 30% MoM makes it impossible to evaluate whether performance changes are strategy-driven or budget-driven — and creates client-facing billing unpredictability.</t>
  </si>
  <si>
    <t>23_Campaign_Performance_CDM (cost_var)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</si>
</sst>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5" fillId="2" borderId="17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top" wrapText="1"/>
    </xf>
    <xf numFmtId="22" fontId="0" fillId="5" borderId="0" xfId="0" applyNumberFormat="1" applyFill="1" applyAlignment="1">
      <alignment horizontal="left"/>
    </xf>
    <xf numFmtId="0" fontId="1" fillId="7" borderId="10" xfId="0" applyFont="1" applyFill="1" applyBorder="1" applyAlignment="1">
      <alignment horizontal="center" vertical="center"/>
    </xf>
    <xf numFmtId="0" fontId="0" fillId="7" borderId="11" xfId="0" applyFill="1" applyBorder="1"/>
    <xf numFmtId="0" fontId="0" fillId="7" borderId="18" xfId="0" applyFill="1" applyBorder="1"/>
    <xf numFmtId="0" fontId="3" fillId="5" borderId="0" xfId="0" applyFont="1" applyFill="1" applyAlignment="1">
      <alignment horizontal="left" vertical="top" wrapText="1"/>
    </xf>
    <xf numFmtId="0" fontId="0" fillId="5" borderId="0" xfId="0" applyFill="1"/>
    <xf numFmtId="0" fontId="2" fillId="5" borderId="0" xfId="0" applyFont="1" applyFill="1"/>
    <xf numFmtId="0" fontId="0" fillId="0" borderId="0" xfId="0"/>
    <xf numFmtId="0" fontId="4" fillId="0" borderId="0" xfId="0" applyFont="1" applyAlignment="1">
      <alignment horizontal="left" vertical="top" wrapText="1"/>
    </xf>
    <xf numFmtId="0" fontId="9" fillId="5" borderId="10" xfId="0" applyFont="1" applyFill="1" applyBorder="1" applyAlignment="1">
      <alignment horizontal="center" vertical="top" wrapText="1"/>
    </xf>
    <xf numFmtId="0" fontId="0" fillId="0" borderId="11" xfId="0" applyBorder="1"/>
    <xf numFmtId="0" fontId="0" fillId="0" borderId="18" xfId="0" applyBorder="1"/>
    <xf numFmtId="0" fontId="1" fillId="5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" xfId="0" applyFont="1" applyBorder="1" applyAlignment="1">
      <alignment vertical="center" wrapText="1"/>
    </xf>
    <xf numFmtId="0" fontId="6" fillId="8" borderId="4" xfId="0" applyFont="1" applyFill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6" fillId="8" borderId="2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32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quartiledigital-my.sharepoint.com/personal/guilherme_quartile_com/Documents/Desktop/Quartile/ACCOUNT%20ANALISYS%20-%20COE/AGENT%20GOOGLE%20FULL%20ANALYSIS/COE-FULL-GOOGLE-ANALYSIS-main/templates/CoE_Google_Account_Implementation_Analysis_Templates.xlsm" TargetMode="External"/><Relationship Id="rId2" Type="http://schemas.microsoft.com/office/2019/04/relationships/externalLinkLongPath" Target="CoE_Google_Account_Implementation_Analysis_Templates.xlsm?C951F886" TargetMode="External"/><Relationship Id="rId1" Type="http://schemas.openxmlformats.org/officeDocument/2006/relationships/externalLinkPath" Target="file:///\\C951F886\CoE_Google_Account_Implementation_Analysis_Templ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Account Implement_Analysis"/>
      <sheetName val="Account Implement_Reference (U)"/>
      <sheetName val="Account Implement_Reference"/>
      <sheetName val="Logic and Calculation"/>
    </sheetNames>
    <sheetDataSet>
      <sheetData sheetId="0"/>
      <sheetData sheetId="1"/>
      <sheetData sheetId="2"/>
      <sheetData sheetId="3">
        <row r="3">
          <cell r="H3">
            <v>10</v>
          </cell>
          <cell r="I3">
            <v>-30</v>
          </cell>
          <cell r="J3" t="str">
            <v>Critical</v>
          </cell>
        </row>
        <row r="4">
          <cell r="H4">
            <v>9</v>
          </cell>
          <cell r="I4">
            <v>-27</v>
          </cell>
          <cell r="J4" t="str">
            <v>High</v>
          </cell>
        </row>
        <row r="5">
          <cell r="H5">
            <v>8</v>
          </cell>
          <cell r="I5">
            <v>-24</v>
          </cell>
          <cell r="J5" t="str">
            <v>High</v>
          </cell>
        </row>
        <row r="6">
          <cell r="H6">
            <v>7</v>
          </cell>
          <cell r="I6">
            <v>-21</v>
          </cell>
          <cell r="J6" t="str">
            <v>Medium</v>
          </cell>
        </row>
        <row r="7">
          <cell r="H7">
            <v>6</v>
          </cell>
          <cell r="I7">
            <v>-18</v>
          </cell>
          <cell r="J7" t="str">
            <v>Medium</v>
          </cell>
        </row>
        <row r="8">
          <cell r="H8">
            <v>5</v>
          </cell>
          <cell r="I8">
            <v>-15</v>
          </cell>
          <cell r="J8" t="str">
            <v>Medium</v>
          </cell>
        </row>
        <row r="9">
          <cell r="H9">
            <v>4</v>
          </cell>
          <cell r="I9">
            <v>-12</v>
          </cell>
          <cell r="J9" t="str">
            <v>Low</v>
          </cell>
        </row>
        <row r="10">
          <cell r="H10">
            <v>3</v>
          </cell>
          <cell r="I10">
            <v>-9</v>
          </cell>
          <cell r="J10" t="str">
            <v>Low</v>
          </cell>
        </row>
        <row r="11">
          <cell r="H11">
            <v>2</v>
          </cell>
          <cell r="I11">
            <v>-6</v>
          </cell>
          <cell r="J11" t="str">
            <v>Visibility</v>
          </cell>
        </row>
        <row r="12">
          <cell r="H12">
            <v>1</v>
          </cell>
          <cell r="I12">
            <v>0</v>
          </cell>
          <cell r="J12" t="str">
            <v>Visibility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4" totalsRowShown="0" headerRowDxfId="31" dataDxfId="30" tableBorderDxfId="29">
  <autoFilter ref="A1:O24" xr:uid="{00000000-0009-0000-0100-000001000000}"/>
  <tableColumns count="15">
    <tableColumn id="1" xr3:uid="{00000000-0010-0000-0000-000001000000}" name="Block" dataDxfId="28"/>
    <tableColumn id="2" xr3:uid="{00000000-0010-0000-0000-000002000000}" name="Control ID" dataDxfId="27"/>
    <tableColumn id="3" xr3:uid="{00000000-0010-0000-0000-000003000000}" name="Control Name" dataDxfId="26"/>
    <tableColumn id="4" xr3:uid="{00000000-0010-0000-0000-000004000000}" name="STATUS" dataDxfId="25"/>
    <tableColumn id="5" xr3:uid="{00000000-0010-0000-0000-000005000000}" name="What" dataDxfId="24"/>
    <tableColumn id="6" xr3:uid="{00000000-0010-0000-0000-000006000000}" name="Why" dataDxfId="23"/>
    <tableColumn id="7" xr3:uid="{00000000-0010-0000-0000-000007000000}" name="How" dataDxfId="22"/>
    <tableColumn id="14" xr3:uid="{00000000-0010-0000-0000-00000E000000}" name="What We Saw" dataDxfId="21"/>
    <tableColumn id="13" xr3:uid="{00000000-0010-0000-0000-00000D000000}" name="Why It Matters" dataDxfId="20"/>
    <tableColumn id="15" xr3:uid="{0958E1CB-B3B7-4F6F-9105-B62122C2FB83}" name="What You Should Do "/>
    <tableColumn id="8" xr3:uid="{00000000-0010-0000-0000-000008000000}" name="Data Source" dataDxfId="19"/>
    <tableColumn id="9" xr3:uid="{00000000-0010-0000-0000-000009000000}" name="Impact" dataDxfId="18">
      <calculatedColumnFormula>VLOOKUP(Table1[[#This Row],[Importance]],'Logic and Calculation'!$H$3:$J$12,3,FALSE)</calculatedColumnFormula>
    </tableColumn>
    <tableColumn id="10" xr3:uid="{00000000-0010-0000-0000-00000A000000}" name="Importance" dataDxfId="17"/>
    <tableColumn id="11" xr3:uid="{00000000-0010-0000-0000-00000B000000}" name="Priority" dataDxfId="16"/>
    <tableColumn id="12" xr3:uid="{00000000-0010-0000-0000-00000C000000}" name="Notes/Intent" dataDxf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zoomScale="70" zoomScaleNormal="70" workbookViewId="0">
      <pane ySplit="8" topLeftCell="A9" activePane="bottomLeft" state="frozen"/>
      <selection pane="bottomLeft" activeCell="A17" sqref="A1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1" customWidth="1"/>
    <col min="5" max="6" width="50.21875" style="21" customWidth="1"/>
    <col min="7" max="7" width="34.44140625" customWidth="1"/>
    <col min="8" max="8" width="21.5546875" style="15" bestFit="1" customWidth="1"/>
    <col min="9" max="9" width="26.21875" style="15" bestFit="1" customWidth="1"/>
    <col min="10" max="10" width="19.6640625" style="15" bestFit="1" customWidth="1"/>
    <col min="11" max="11" width="19.44140625" style="15" bestFit="1" customWidth="1"/>
    <col min="12" max="12" width="21.88671875" style="15" bestFit="1" customWidth="1"/>
    <col min="13" max="13" width="25" style="15" bestFit="1" customWidth="1"/>
    <col min="14" max="14" width="25.6640625" style="15" bestFit="1" customWidth="1"/>
    <col min="15" max="15" width="28.44140625" style="15" bestFit="1" customWidth="1"/>
    <col min="16" max="16" width="27.6640625" style="15" bestFit="1" customWidth="1"/>
    <col min="17" max="17" width="22.33203125" style="15" bestFit="1" customWidth="1"/>
    <col min="18" max="18" width="16.88671875" style="15" bestFit="1" customWidth="1"/>
    <col min="19" max="19" width="10.6640625" style="15" bestFit="1" customWidth="1"/>
    <col min="20" max="20" width="26.6640625" style="15" bestFit="1" customWidth="1"/>
    <col min="21" max="21" width="27.6640625" style="15" bestFit="1" customWidth="1"/>
    <col min="22" max="22" width="18.88671875" style="15" bestFit="1" customWidth="1"/>
    <col min="23" max="23" width="20" style="15" bestFit="1" customWidth="1"/>
    <col min="24" max="24" width="14.44140625" style="15" bestFit="1" customWidth="1"/>
    <col min="25" max="25" width="19.44140625" style="15" bestFit="1" customWidth="1"/>
    <col min="26" max="26" width="12.77734375" style="15" bestFit="1" customWidth="1"/>
    <col min="27" max="27" width="30.44140625" style="15" bestFit="1" customWidth="1"/>
    <col min="28" max="28" width="24.88671875" style="15" bestFit="1" customWidth="1"/>
    <col min="29" max="29" width="20.44140625" style="15" bestFit="1" customWidth="1"/>
    <col min="30" max="30" width="16.109375" style="15" bestFit="1" customWidth="1"/>
    <col min="31" max="31" width="21.5546875" style="15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5" t="s">
        <v>39</v>
      </c>
      <c r="B1" s="46"/>
      <c r="C1" s="46"/>
      <c r="D1" s="46"/>
      <c r="E1" s="46"/>
      <c r="F1" s="46"/>
      <c r="G1" s="47"/>
    </row>
    <row r="2" spans="1:7" x14ac:dyDescent="0.3">
      <c r="A2" s="24" t="s">
        <v>38</v>
      </c>
      <c r="B2" s="15" t="s">
        <v>55</v>
      </c>
      <c r="C2" s="15"/>
      <c r="D2" s="48"/>
      <c r="E2" s="49"/>
      <c r="F2" s="49"/>
      <c r="G2" s="49"/>
    </row>
    <row r="3" spans="1:7" x14ac:dyDescent="0.3">
      <c r="A3" s="23" t="s">
        <v>34</v>
      </c>
      <c r="B3" t="s">
        <v>35</v>
      </c>
      <c r="D3" s="22"/>
      <c r="E3" s="15"/>
      <c r="F3" s="15"/>
      <c r="G3" s="15"/>
    </row>
    <row r="4" spans="1:7" ht="14.4" customHeight="1" x14ac:dyDescent="0.3">
      <c r="A4" s="24" t="s">
        <v>33</v>
      </c>
      <c r="B4" s="15" t="s">
        <v>36</v>
      </c>
      <c r="C4" s="15"/>
      <c r="D4" s="48"/>
      <c r="E4" s="49"/>
      <c r="F4" s="49"/>
      <c r="G4" s="49"/>
    </row>
    <row r="5" spans="1:7" ht="14.4" customHeight="1" x14ac:dyDescent="0.3">
      <c r="A5" s="24" t="s">
        <v>37</v>
      </c>
      <c r="B5" s="44">
        <v>46083.684884259259</v>
      </c>
      <c r="C5" s="15"/>
      <c r="D5" s="22"/>
      <c r="E5" s="15"/>
      <c r="F5" s="15"/>
      <c r="G5" s="15"/>
    </row>
    <row r="6" spans="1:7" ht="15" thickBot="1" x14ac:dyDescent="0.35">
      <c r="A6" s="15"/>
      <c r="B6" s="15"/>
      <c r="C6" s="15"/>
      <c r="D6" s="20"/>
      <c r="E6" s="20"/>
      <c r="F6" s="20"/>
      <c r="G6" s="15"/>
    </row>
    <row r="7" spans="1:7" ht="21" customHeight="1" thickBot="1" x14ac:dyDescent="0.35">
      <c r="A7" s="50" t="s">
        <v>49</v>
      </c>
      <c r="B7" s="51"/>
      <c r="C7" s="51"/>
      <c r="D7" s="56" t="str">
        <f>'Logic and Calculation'!B5</f>
        <v>Healthy</v>
      </c>
      <c r="E7" s="54"/>
      <c r="F7" s="54"/>
      <c r="G7" s="55"/>
    </row>
    <row r="8" spans="1:7" ht="18" customHeight="1" thickBot="1" x14ac:dyDescent="0.35">
      <c r="A8" s="50" t="s">
        <v>0</v>
      </c>
      <c r="B8" s="51"/>
      <c r="C8" s="51"/>
      <c r="D8" s="53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4"/>
      <c r="F8" s="54"/>
      <c r="G8" s="55"/>
    </row>
    <row r="9" spans="1:7" ht="18" customHeight="1" thickBot="1" x14ac:dyDescent="0.35">
      <c r="A9" s="40"/>
      <c r="B9" s="15"/>
      <c r="C9" s="15"/>
      <c r="D9" s="41"/>
      <c r="E9" s="15"/>
      <c r="F9" s="15"/>
      <c r="G9" s="15"/>
    </row>
    <row r="10" spans="1:7" ht="18" customHeight="1" thickBot="1" x14ac:dyDescent="0.35">
      <c r="A10" s="23" t="s">
        <v>50</v>
      </c>
      <c r="B10" s="33"/>
      <c r="C10" s="15"/>
      <c r="D10" s="57"/>
      <c r="E10" s="57"/>
      <c r="F10" s="57"/>
      <c r="G10" s="57"/>
    </row>
    <row r="11" spans="1:7" ht="18" customHeight="1" thickBot="1" x14ac:dyDescent="0.35">
      <c r="A11" s="23" t="s">
        <v>51</v>
      </c>
      <c r="B11" s="34"/>
      <c r="C11" s="15"/>
      <c r="D11" s="37" t="s">
        <v>53</v>
      </c>
      <c r="E11" s="36"/>
      <c r="F11" s="20"/>
      <c r="G11" s="15"/>
    </row>
    <row r="12" spans="1:7" ht="18" customHeight="1" thickBot="1" x14ac:dyDescent="0.35">
      <c r="A12" s="23" t="s">
        <v>52</v>
      </c>
      <c r="B12" s="35"/>
      <c r="C12" s="15"/>
      <c r="D12" s="20"/>
      <c r="E12" s="20"/>
      <c r="F12" s="20"/>
      <c r="G12" s="15"/>
    </row>
    <row r="13" spans="1:7" ht="18" customHeight="1" x14ac:dyDescent="0.3">
      <c r="A13" s="15"/>
      <c r="B13" s="15"/>
      <c r="C13" s="15"/>
      <c r="D13" s="20"/>
      <c r="E13" s="20"/>
      <c r="F13" s="20"/>
      <c r="G13" s="15"/>
    </row>
    <row r="14" spans="1:7" x14ac:dyDescent="0.3">
      <c r="A14" s="52" t="s">
        <v>1</v>
      </c>
      <c r="B14" s="51"/>
      <c r="C14" s="51"/>
      <c r="D14" s="51"/>
      <c r="E14" s="51"/>
      <c r="F14" s="51"/>
      <c r="G14" s="51"/>
    </row>
    <row r="15" spans="1:7" ht="19.95" customHeight="1" x14ac:dyDescent="0.3">
      <c r="A15" s="1" t="s">
        <v>2</v>
      </c>
      <c r="B15" s="1" t="s">
        <v>3</v>
      </c>
      <c r="C15" s="1" t="s">
        <v>4</v>
      </c>
      <c r="D15" s="1" t="s">
        <v>5</v>
      </c>
      <c r="E15" s="1" t="s">
        <v>6</v>
      </c>
      <c r="F15" s="1" t="s">
        <v>236</v>
      </c>
      <c r="G15" s="1" t="s">
        <v>7</v>
      </c>
    </row>
    <row r="16" spans="1:7" ht="44.4" customHeight="1" x14ac:dyDescent="0.3">
      <c r="A16" s="16" t="str" cm="1">
        <f t="array" ref="A16">_xlfn.LET(
  _xlpm.id, 'Account Health_Reference'!B2:B24,
  _xlpm.name, 'Account Health_Reference'!C2:C24,
  _xlpm.st, 'Account Health_Reference'!D2:D24,
  _xlpm.saw, 'Account Health_Reference'!H2:H24,
  _xlpm.matter, 'Account Health_Reference'!I2:I24,
  _xlpm.wysd, 'Account Health_Reference'!J2:J24,
  _xlpm.impact, 'Account Health_Reference'!L2:L24,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6" s="16"/>
      <c r="C16" s="17"/>
      <c r="D16" s="18"/>
      <c r="E16" s="18"/>
      <c r="F16" s="18"/>
      <c r="G16" s="16"/>
    </row>
    <row r="17" spans="1:7" ht="44.4" customHeight="1" x14ac:dyDescent="0.3">
      <c r="A17" s="16"/>
      <c r="B17" s="16"/>
      <c r="C17" s="14"/>
      <c r="D17" s="18"/>
      <c r="E17" s="18"/>
      <c r="F17" s="18"/>
      <c r="G17" s="16"/>
    </row>
    <row r="18" spans="1:7" ht="44.4" customHeight="1" x14ac:dyDescent="0.3">
      <c r="A18" s="16"/>
      <c r="B18" s="16"/>
      <c r="C18" s="14"/>
      <c r="D18" s="18"/>
      <c r="E18" s="18"/>
      <c r="F18" s="18"/>
      <c r="G18" s="16"/>
    </row>
    <row r="19" spans="1:7" ht="44.4" customHeight="1" x14ac:dyDescent="0.3">
      <c r="A19" s="16"/>
      <c r="B19" s="16"/>
      <c r="C19" s="14"/>
      <c r="D19" s="18"/>
      <c r="E19" s="18"/>
      <c r="F19" s="18"/>
      <c r="G19" s="16"/>
    </row>
    <row r="20" spans="1:7" ht="44.4" customHeight="1" x14ac:dyDescent="0.3">
      <c r="A20" s="16"/>
      <c r="B20" s="16"/>
      <c r="C20" s="14"/>
      <c r="D20" s="18"/>
      <c r="E20" s="18"/>
      <c r="F20" s="18"/>
      <c r="G20" s="16"/>
    </row>
    <row r="21" spans="1:7" ht="44.4" customHeight="1" x14ac:dyDescent="0.3">
      <c r="A21" s="16"/>
      <c r="B21" s="16"/>
      <c r="C21" s="14"/>
      <c r="D21" s="18"/>
      <c r="E21" s="18"/>
      <c r="F21" s="18"/>
      <c r="G21" s="16"/>
    </row>
    <row r="22" spans="1:7" ht="44.4" customHeight="1" x14ac:dyDescent="0.3">
      <c r="A22" s="16"/>
      <c r="B22" s="16"/>
      <c r="C22" s="14"/>
      <c r="D22" s="18"/>
      <c r="E22" s="18"/>
      <c r="F22" s="18"/>
      <c r="G22" s="16"/>
    </row>
    <row r="23" spans="1:7" ht="44.4" customHeight="1" x14ac:dyDescent="0.3">
      <c r="A23" s="16"/>
      <c r="B23" s="16"/>
      <c r="C23" s="14"/>
      <c r="D23" s="18"/>
      <c r="E23" s="18"/>
      <c r="F23" s="18"/>
      <c r="G23" s="16"/>
    </row>
    <row r="24" spans="1:7" ht="44.4" customHeight="1" x14ac:dyDescent="0.3">
      <c r="A24" s="16"/>
      <c r="B24" s="16"/>
      <c r="C24" s="14"/>
      <c r="D24" s="18"/>
      <c r="E24" s="18"/>
      <c r="F24" s="18"/>
      <c r="G24" s="16"/>
    </row>
    <row r="25" spans="1:7" ht="44.4" customHeight="1" x14ac:dyDescent="0.3">
      <c r="A25" s="16"/>
      <c r="B25" s="16"/>
      <c r="C25" s="14"/>
      <c r="D25" s="18"/>
      <c r="E25" s="18"/>
      <c r="F25" s="18"/>
      <c r="G25" s="16"/>
    </row>
    <row r="26" spans="1:7" ht="44.4" customHeight="1" x14ac:dyDescent="0.3">
      <c r="A26" s="16"/>
      <c r="B26" s="16"/>
      <c r="C26" s="14"/>
      <c r="D26" s="18"/>
      <c r="E26" s="18"/>
      <c r="F26" s="18"/>
      <c r="G26" s="16"/>
    </row>
    <row r="27" spans="1:7" ht="44.4" customHeight="1" x14ac:dyDescent="0.3">
      <c r="A27" s="16"/>
      <c r="B27" s="16"/>
      <c r="C27" s="14"/>
      <c r="D27" s="18"/>
      <c r="E27" s="18"/>
      <c r="F27" s="18"/>
      <c r="G27" s="16"/>
    </row>
    <row r="28" spans="1:7" ht="44.4" customHeight="1" x14ac:dyDescent="0.3">
      <c r="A28" s="16"/>
      <c r="B28" s="16"/>
      <c r="C28" s="14"/>
      <c r="D28" s="18"/>
      <c r="E28" s="18"/>
      <c r="F28" s="18"/>
      <c r="G28" s="16"/>
    </row>
    <row r="29" spans="1:7" ht="44.4" customHeight="1" x14ac:dyDescent="0.3">
      <c r="A29" s="16"/>
      <c r="B29" s="16"/>
      <c r="C29" s="14"/>
      <c r="D29" s="18"/>
      <c r="E29" s="18"/>
      <c r="F29" s="18"/>
      <c r="G29" s="16"/>
    </row>
    <row r="30" spans="1:7" ht="44.4" customHeight="1" x14ac:dyDescent="0.3">
      <c r="A30" s="15"/>
      <c r="B30" s="15"/>
      <c r="C30" s="14"/>
      <c r="D30" s="20"/>
      <c r="E30" s="20"/>
      <c r="F30" s="20"/>
      <c r="G30" s="15"/>
    </row>
    <row r="31" spans="1:7" ht="44.4" customHeight="1" x14ac:dyDescent="0.3">
      <c r="A31" s="15"/>
      <c r="B31" s="15"/>
      <c r="C31" s="14"/>
      <c r="D31" s="20"/>
      <c r="E31" s="20"/>
      <c r="F31" s="20"/>
      <c r="G31" s="15"/>
    </row>
    <row r="32" spans="1:7" ht="44.4" customHeight="1" x14ac:dyDescent="0.3">
      <c r="A32" s="15"/>
      <c r="B32" s="15"/>
      <c r="C32" s="14"/>
      <c r="D32" s="20"/>
      <c r="E32" s="20"/>
      <c r="F32" s="20"/>
      <c r="G32" s="15"/>
    </row>
    <row r="33" spans="1:7" ht="44.4" customHeight="1" x14ac:dyDescent="0.3">
      <c r="A33" s="15"/>
      <c r="B33" s="15"/>
      <c r="C33" s="14"/>
      <c r="D33" s="20"/>
      <c r="E33" s="20"/>
      <c r="F33" s="20"/>
      <c r="G33" s="15"/>
    </row>
    <row r="34" spans="1:7" ht="44.4" customHeight="1" x14ac:dyDescent="0.3">
      <c r="A34" s="15"/>
      <c r="B34" s="15"/>
      <c r="C34" s="14"/>
      <c r="D34" s="20"/>
      <c r="E34" s="20"/>
      <c r="F34" s="20"/>
      <c r="G34" s="15"/>
    </row>
    <row r="35" spans="1:7" ht="44.4" customHeight="1" x14ac:dyDescent="0.3">
      <c r="C35" s="14"/>
    </row>
    <row r="36" spans="1:7" ht="44.4" customHeight="1" x14ac:dyDescent="0.3">
      <c r="C36" s="14"/>
    </row>
    <row r="37" spans="1:7" ht="44.4" customHeight="1" x14ac:dyDescent="0.3">
      <c r="C37" s="14"/>
    </row>
    <row r="38" spans="1:7" ht="44.4" customHeight="1" x14ac:dyDescent="0.3">
      <c r="C38" s="14"/>
    </row>
    <row r="39" spans="1:7" ht="44.4" customHeight="1" x14ac:dyDescent="0.3">
      <c r="C39" s="14"/>
    </row>
  </sheetData>
  <mergeCells count="9">
    <mergeCell ref="A1:G1"/>
    <mergeCell ref="D4:G4"/>
    <mergeCell ref="A7:C7"/>
    <mergeCell ref="A14:G14"/>
    <mergeCell ref="D8:G8"/>
    <mergeCell ref="A8:C8"/>
    <mergeCell ref="D2:G2"/>
    <mergeCell ref="D7:G7"/>
    <mergeCell ref="D10:G10"/>
  </mergeCells>
  <conditionalFormatting sqref="C16:C39">
    <cfRule type="cellIs" dxfId="14" priority="4" stopIfTrue="1" operator="equal">
      <formula>"OK"</formula>
    </cfRule>
    <cfRule type="cellIs" dxfId="13" priority="5" stopIfTrue="1" operator="equal">
      <formula>"PARTIAL"</formula>
    </cfRule>
    <cfRule type="cellIs" dxfId="12" priority="6" stopIfTrue="1" operator="equal">
      <formula>"FLAG"</formula>
    </cfRule>
  </conditionalFormatting>
  <conditionalFormatting sqref="D7:G7">
    <cfRule type="containsText" dxfId="11" priority="1" operator="containsText" text="Healthy">
      <formula>NOT(ISERROR(SEARCH("Healthy",D7)))</formula>
    </cfRule>
    <cfRule type="containsText" dxfId="10" priority="2" operator="containsText" text="Needs Attention">
      <formula>NOT(ISERROR(SEARCH("Needs Attention",D7)))</formula>
    </cfRule>
    <cfRule type="containsText" dxfId="9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28"/>
  <sheetViews>
    <sheetView tabSelected="1" workbookViewId="0">
      <pane ySplit="1" topLeftCell="A20" activePane="bottomLeft" state="frozen"/>
      <selection pane="bottomLeft" activeCell="A27" sqref="A27:XFD28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7" customWidth="1"/>
    <col min="6" max="6" width="38" style="21" customWidth="1"/>
    <col min="7" max="7" width="42" style="21" customWidth="1"/>
    <col min="8" max="10" width="47.88671875" style="21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8" t="s">
        <v>2</v>
      </c>
      <c r="C1" s="29" t="s">
        <v>3</v>
      </c>
      <c r="D1" s="29" t="s">
        <v>9</v>
      </c>
      <c r="E1" s="38" t="s">
        <v>10</v>
      </c>
      <c r="F1" s="29" t="s">
        <v>11</v>
      </c>
      <c r="G1" s="29" t="s">
        <v>12</v>
      </c>
      <c r="H1" s="30" t="s">
        <v>5</v>
      </c>
      <c r="I1" s="30" t="s">
        <v>6</v>
      </c>
      <c r="J1" s="42" t="s">
        <v>236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56</v>
      </c>
      <c r="B2" s="4" t="s">
        <v>213</v>
      </c>
      <c r="C2" s="4" t="s">
        <v>57</v>
      </c>
      <c r="D2" s="4" t="s">
        <v>17</v>
      </c>
      <c r="E2" s="26" t="s">
        <v>85</v>
      </c>
      <c r="F2" s="3" t="s">
        <v>86</v>
      </c>
      <c r="G2" s="3" t="s">
        <v>87</v>
      </c>
      <c r="H2" s="3" t="s">
        <v>88</v>
      </c>
      <c r="I2" s="3" t="s">
        <v>89</v>
      </c>
      <c r="J2" s="7"/>
      <c r="K2" s="7" t="s">
        <v>90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56</v>
      </c>
      <c r="B3" s="4" t="s">
        <v>214</v>
      </c>
      <c r="C3" s="4" t="s">
        <v>58</v>
      </c>
      <c r="D3" s="4" t="s">
        <v>17</v>
      </c>
      <c r="E3" s="31" t="s">
        <v>91</v>
      </c>
      <c r="F3" s="3" t="s">
        <v>92</v>
      </c>
      <c r="G3" s="3" t="s">
        <v>93</v>
      </c>
      <c r="H3" s="3" t="s">
        <v>94</v>
      </c>
      <c r="I3" s="3" t="s">
        <v>95</v>
      </c>
      <c r="J3" s="3"/>
      <c r="K3" s="3" t="s">
        <v>90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56</v>
      </c>
      <c r="B4" s="4" t="s">
        <v>215</v>
      </c>
      <c r="C4" s="4" t="s">
        <v>59</v>
      </c>
      <c r="D4" s="4" t="s">
        <v>17</v>
      </c>
      <c r="E4" s="31" t="s">
        <v>96</v>
      </c>
      <c r="F4" s="3" t="s">
        <v>97</v>
      </c>
      <c r="G4" s="3" t="s">
        <v>98</v>
      </c>
      <c r="H4" s="3" t="s">
        <v>99</v>
      </c>
      <c r="I4" s="3" t="s">
        <v>100</v>
      </c>
      <c r="J4" s="3"/>
      <c r="K4" s="3" t="s">
        <v>101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56</v>
      </c>
      <c r="B5" s="4" t="s">
        <v>216</v>
      </c>
      <c r="C5" s="4" t="s">
        <v>60</v>
      </c>
      <c r="D5" s="4" t="s">
        <v>17</v>
      </c>
      <c r="E5" s="31" t="s">
        <v>102</v>
      </c>
      <c r="F5" s="3" t="s">
        <v>103</v>
      </c>
      <c r="G5" s="3" t="s">
        <v>104</v>
      </c>
      <c r="H5" s="3" t="s">
        <v>105</v>
      </c>
      <c r="I5" s="3" t="s">
        <v>106</v>
      </c>
      <c r="J5" s="3"/>
      <c r="K5" s="3" t="s">
        <v>101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56</v>
      </c>
      <c r="B6" s="4" t="s">
        <v>217</v>
      </c>
      <c r="C6" s="4" t="s">
        <v>61</v>
      </c>
      <c r="D6" s="4" t="s">
        <v>17</v>
      </c>
      <c r="E6" s="31" t="s">
        <v>107</v>
      </c>
      <c r="F6" s="3" t="s">
        <v>108</v>
      </c>
      <c r="G6" s="3" t="s">
        <v>109</v>
      </c>
      <c r="H6" s="3" t="s">
        <v>110</v>
      </c>
      <c r="I6" s="3" t="s">
        <v>111</v>
      </c>
      <c r="J6" s="3"/>
      <c r="K6" s="3" t="s">
        <v>101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56</v>
      </c>
      <c r="B7" s="4" t="s">
        <v>218</v>
      </c>
      <c r="C7" s="4" t="s">
        <v>62</v>
      </c>
      <c r="D7" s="4" t="s">
        <v>17</v>
      </c>
      <c r="E7" s="31" t="s">
        <v>112</v>
      </c>
      <c r="F7" s="3" t="s">
        <v>113</v>
      </c>
      <c r="G7" s="3" t="s">
        <v>114</v>
      </c>
      <c r="H7" s="3" t="s">
        <v>115</v>
      </c>
      <c r="I7" s="3" t="s">
        <v>116</v>
      </c>
      <c r="J7" s="3"/>
      <c r="K7" s="3" t="s">
        <v>101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63</v>
      </c>
      <c r="B8" s="4" t="s">
        <v>219</v>
      </c>
      <c r="C8" s="4" t="s">
        <v>64</v>
      </c>
      <c r="D8" s="4" t="s">
        <v>17</v>
      </c>
      <c r="E8" s="31" t="s">
        <v>117</v>
      </c>
      <c r="F8" s="3" t="s">
        <v>118</v>
      </c>
      <c r="G8" s="3" t="s">
        <v>119</v>
      </c>
      <c r="H8" s="3" t="s">
        <v>120</v>
      </c>
      <c r="I8" s="3" t="s">
        <v>121</v>
      </c>
      <c r="J8" s="3"/>
      <c r="K8" s="3" t="s">
        <v>101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63</v>
      </c>
      <c r="B9" s="4" t="s">
        <v>220</v>
      </c>
      <c r="C9" s="4" t="s">
        <v>65</v>
      </c>
      <c r="D9" s="4" t="s">
        <v>17</v>
      </c>
      <c r="E9" s="31" t="s">
        <v>122</v>
      </c>
      <c r="F9" s="3" t="s">
        <v>123</v>
      </c>
      <c r="G9" s="3" t="s">
        <v>124</v>
      </c>
      <c r="H9" s="3" t="s">
        <v>125</v>
      </c>
      <c r="I9" s="3" t="s">
        <v>126</v>
      </c>
      <c r="J9" s="3"/>
      <c r="K9" s="3" t="s">
        <v>101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63</v>
      </c>
      <c r="B10" s="4" t="s">
        <v>221</v>
      </c>
      <c r="C10" s="4" t="s">
        <v>66</v>
      </c>
      <c r="D10" s="4" t="s">
        <v>17</v>
      </c>
      <c r="E10" s="31" t="s">
        <v>127</v>
      </c>
      <c r="F10" s="3" t="s">
        <v>128</v>
      </c>
      <c r="G10" s="3" t="s">
        <v>129</v>
      </c>
      <c r="H10" s="3" t="s">
        <v>130</v>
      </c>
      <c r="I10" s="3" t="s">
        <v>131</v>
      </c>
      <c r="J10" s="3"/>
      <c r="K10" s="3" t="s">
        <v>132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63</v>
      </c>
      <c r="B11" s="4" t="s">
        <v>222</v>
      </c>
      <c r="C11" s="4" t="s">
        <v>67</v>
      </c>
      <c r="D11" s="4" t="s">
        <v>17</v>
      </c>
      <c r="E11" s="31" t="s">
        <v>133</v>
      </c>
      <c r="F11" s="3" t="s">
        <v>134</v>
      </c>
      <c r="G11" s="3" t="s">
        <v>135</v>
      </c>
      <c r="H11" s="3" t="s">
        <v>136</v>
      </c>
      <c r="I11" s="3" t="s">
        <v>137</v>
      </c>
      <c r="J11" s="3"/>
      <c r="K11" s="3" t="s">
        <v>132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68</v>
      </c>
      <c r="B12" s="4" t="s">
        <v>223</v>
      </c>
      <c r="C12" s="4" t="s">
        <v>69</v>
      </c>
      <c r="D12" s="4" t="s">
        <v>17</v>
      </c>
      <c r="E12" s="31" t="s">
        <v>138</v>
      </c>
      <c r="F12" s="3" t="s">
        <v>139</v>
      </c>
      <c r="G12" s="3" t="s">
        <v>140</v>
      </c>
      <c r="H12" s="3" t="s">
        <v>141</v>
      </c>
      <c r="I12" s="3" t="s">
        <v>142</v>
      </c>
      <c r="J12" s="3"/>
      <c r="K12" s="3" t="s">
        <v>143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68</v>
      </c>
      <c r="B13" s="4" t="s">
        <v>224</v>
      </c>
      <c r="C13" s="4" t="s">
        <v>70</v>
      </c>
      <c r="D13" s="4" t="s">
        <v>17</v>
      </c>
      <c r="E13" s="31" t="s">
        <v>144</v>
      </c>
      <c r="F13" s="3" t="s">
        <v>145</v>
      </c>
      <c r="G13" s="3" t="s">
        <v>146</v>
      </c>
      <c r="H13" s="3" t="s">
        <v>147</v>
      </c>
      <c r="I13" s="3" t="s">
        <v>148</v>
      </c>
      <c r="J13" s="3"/>
      <c r="K13" s="3" t="s">
        <v>149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68</v>
      </c>
      <c r="B14" s="4" t="s">
        <v>225</v>
      </c>
      <c r="C14" s="4" t="s">
        <v>71</v>
      </c>
      <c r="D14" s="4" t="s">
        <v>17</v>
      </c>
      <c r="E14" s="31" t="s">
        <v>150</v>
      </c>
      <c r="F14" s="3" t="s">
        <v>151</v>
      </c>
      <c r="G14" s="3" t="s">
        <v>152</v>
      </c>
      <c r="H14" s="3" t="s">
        <v>153</v>
      </c>
      <c r="I14" s="3" t="s">
        <v>154</v>
      </c>
      <c r="J14" s="3"/>
      <c r="K14" s="3" t="s">
        <v>155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72</v>
      </c>
      <c r="B15" s="4" t="s">
        <v>226</v>
      </c>
      <c r="C15" s="4" t="s">
        <v>73</v>
      </c>
      <c r="D15" s="4" t="s">
        <v>17</v>
      </c>
      <c r="E15" s="31" t="s">
        <v>156</v>
      </c>
      <c r="F15" s="3" t="s">
        <v>157</v>
      </c>
      <c r="G15" s="3" t="s">
        <v>158</v>
      </c>
      <c r="H15" s="3" t="s">
        <v>159</v>
      </c>
      <c r="I15" s="3" t="s">
        <v>160</v>
      </c>
      <c r="J15" s="3"/>
      <c r="K15" s="3" t="s">
        <v>161</v>
      </c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72</v>
      </c>
      <c r="B16" s="4" t="s">
        <v>227</v>
      </c>
      <c r="C16" s="4" t="s">
        <v>74</v>
      </c>
      <c r="D16" s="4" t="s">
        <v>17</v>
      </c>
      <c r="E16" s="31" t="s">
        <v>162</v>
      </c>
      <c r="F16" s="3" t="s">
        <v>163</v>
      </c>
      <c r="G16" s="3" t="s">
        <v>164</v>
      </c>
      <c r="H16" s="3" t="s">
        <v>165</v>
      </c>
      <c r="I16" s="3" t="s">
        <v>166</v>
      </c>
      <c r="J16" s="3"/>
      <c r="K16" s="3" t="s">
        <v>167</v>
      </c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6" ht="24" customHeight="1" x14ac:dyDescent="0.3">
      <c r="A17" s="4" t="s">
        <v>72</v>
      </c>
      <c r="B17" s="4" t="s">
        <v>228</v>
      </c>
      <c r="C17" s="4" t="s">
        <v>75</v>
      </c>
      <c r="D17" s="4" t="s">
        <v>17</v>
      </c>
      <c r="E17" s="31" t="s">
        <v>168</v>
      </c>
      <c r="F17" s="3" t="s">
        <v>169</v>
      </c>
      <c r="G17" s="3" t="s">
        <v>170</v>
      </c>
      <c r="H17" s="3" t="s">
        <v>171</v>
      </c>
      <c r="I17" s="3" t="s">
        <v>172</v>
      </c>
      <c r="J17" s="3"/>
      <c r="K17" s="3" t="s">
        <v>173</v>
      </c>
      <c r="L17" s="6" t="str">
        <f>VLOOKUP(Table1[[#This Row],[Importance]],'Logic and Calculation'!$H$3:$J$12,3,FALSE)</f>
        <v>Visibility</v>
      </c>
      <c r="M17" s="4">
        <v>1</v>
      </c>
      <c r="N17" s="4">
        <f>VLOOKUP(Table1[[#This Row],[Importance]],'Logic and Calculation'!$H$3:$J$12,2,FALSE)</f>
        <v>0</v>
      </c>
      <c r="O17" s="12"/>
    </row>
    <row r="18" spans="1:16" ht="24" customHeight="1" x14ac:dyDescent="0.3">
      <c r="A18" s="4" t="s">
        <v>76</v>
      </c>
      <c r="B18" s="4" t="s">
        <v>229</v>
      </c>
      <c r="C18" s="4" t="s">
        <v>77</v>
      </c>
      <c r="D18" s="4" t="s">
        <v>17</v>
      </c>
      <c r="E18" s="31" t="s">
        <v>174</v>
      </c>
      <c r="F18" s="3" t="s">
        <v>175</v>
      </c>
      <c r="G18" s="3" t="s">
        <v>176</v>
      </c>
      <c r="H18" s="3" t="s">
        <v>177</v>
      </c>
      <c r="I18" s="3" t="s">
        <v>178</v>
      </c>
      <c r="J18" s="3"/>
      <c r="K18" s="3" t="s">
        <v>179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6" ht="36" customHeight="1" x14ac:dyDescent="0.3">
      <c r="A19" s="4" t="s">
        <v>76</v>
      </c>
      <c r="B19" s="4" t="s">
        <v>230</v>
      </c>
      <c r="C19" s="4" t="s">
        <v>78</v>
      </c>
      <c r="D19" s="4" t="s">
        <v>17</v>
      </c>
      <c r="E19" s="26" t="s">
        <v>180</v>
      </c>
      <c r="F19" s="3" t="s">
        <v>181</v>
      </c>
      <c r="G19" s="3" t="s">
        <v>182</v>
      </c>
      <c r="H19" s="3" t="s">
        <v>183</v>
      </c>
      <c r="I19" s="3" t="s">
        <v>184</v>
      </c>
      <c r="J19" s="3"/>
      <c r="K19" s="3" t="s">
        <v>185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6" ht="36" customHeight="1" x14ac:dyDescent="0.3">
      <c r="A20" s="4" t="s">
        <v>76</v>
      </c>
      <c r="B20" s="4" t="s">
        <v>231</v>
      </c>
      <c r="C20" s="4" t="s">
        <v>79</v>
      </c>
      <c r="D20" s="4" t="s">
        <v>17</v>
      </c>
      <c r="E20" s="31" t="s">
        <v>186</v>
      </c>
      <c r="F20" s="3" t="s">
        <v>187</v>
      </c>
      <c r="G20" s="3" t="s">
        <v>188</v>
      </c>
      <c r="H20" s="3" t="s">
        <v>189</v>
      </c>
      <c r="I20" s="3" t="s">
        <v>190</v>
      </c>
      <c r="J20" s="3"/>
      <c r="K20" s="3" t="s">
        <v>185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6" ht="36" customHeight="1" x14ac:dyDescent="0.3">
      <c r="A21" s="4" t="s">
        <v>76</v>
      </c>
      <c r="B21" s="4" t="s">
        <v>232</v>
      </c>
      <c r="C21" s="4" t="s">
        <v>80</v>
      </c>
      <c r="D21" s="4" t="s">
        <v>17</v>
      </c>
      <c r="E21" s="26" t="s">
        <v>191</v>
      </c>
      <c r="F21" s="3" t="s">
        <v>192</v>
      </c>
      <c r="G21" s="3" t="s">
        <v>193</v>
      </c>
      <c r="H21" s="3" t="s">
        <v>194</v>
      </c>
      <c r="I21" s="3" t="s">
        <v>195</v>
      </c>
      <c r="J21" s="3"/>
      <c r="K21" s="3" t="s">
        <v>185</v>
      </c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6" ht="36" customHeight="1" x14ac:dyDescent="0.3">
      <c r="A22" s="4" t="s">
        <v>81</v>
      </c>
      <c r="B22" s="4" t="s">
        <v>233</v>
      </c>
      <c r="C22" s="4" t="s">
        <v>82</v>
      </c>
      <c r="D22" s="4" t="s">
        <v>17</v>
      </c>
      <c r="E22" s="32" t="s">
        <v>196</v>
      </c>
      <c r="F22" s="32" t="s">
        <v>197</v>
      </c>
      <c r="G22" s="32" t="s">
        <v>198</v>
      </c>
      <c r="H22" s="32" t="s">
        <v>199</v>
      </c>
      <c r="I22" s="32" t="s">
        <v>200</v>
      </c>
      <c r="J22" s="43"/>
      <c r="K22" s="7" t="s">
        <v>201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5"/>
    </row>
    <row r="23" spans="1:16" ht="36" customHeight="1" x14ac:dyDescent="0.3">
      <c r="A23" s="4" t="s">
        <v>81</v>
      </c>
      <c r="B23" s="4" t="s">
        <v>234</v>
      </c>
      <c r="C23" s="4" t="s">
        <v>83</v>
      </c>
      <c r="D23" s="4" t="s">
        <v>17</v>
      </c>
      <c r="E23" s="32" t="s">
        <v>202</v>
      </c>
      <c r="F23" s="32" t="s">
        <v>203</v>
      </c>
      <c r="G23" s="32" t="s">
        <v>204</v>
      </c>
      <c r="H23" s="32" t="s">
        <v>205</v>
      </c>
      <c r="I23" s="32" t="s">
        <v>206</v>
      </c>
      <c r="J23" s="32"/>
      <c r="K23" s="3" t="s">
        <v>201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6" ht="36" customHeight="1" x14ac:dyDescent="0.3">
      <c r="A24" s="4" t="s">
        <v>81</v>
      </c>
      <c r="B24" s="4" t="s">
        <v>235</v>
      </c>
      <c r="C24" s="4" t="s">
        <v>84</v>
      </c>
      <c r="D24" s="4" t="s">
        <v>17</v>
      </c>
      <c r="E24" s="32" t="s">
        <v>207</v>
      </c>
      <c r="F24" s="32" t="s">
        <v>208</v>
      </c>
      <c r="G24" s="32" t="s">
        <v>209</v>
      </c>
      <c r="H24" s="32" t="s">
        <v>210</v>
      </c>
      <c r="I24" s="32" t="s">
        <v>211</v>
      </c>
      <c r="J24" s="32"/>
      <c r="K24" s="3" t="s">
        <v>212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6" ht="72" x14ac:dyDescent="0.3">
      <c r="A25" s="62" t="s">
        <v>246</v>
      </c>
      <c r="B25" s="61" t="s">
        <v>254</v>
      </c>
      <c r="C25" s="61" t="s">
        <v>253</v>
      </c>
      <c r="D25" s="59" t="s">
        <v>17</v>
      </c>
      <c r="E25" s="59" t="s">
        <v>243</v>
      </c>
      <c r="F25" s="3" t="s">
        <v>252</v>
      </c>
      <c r="G25" s="3" t="s">
        <v>251</v>
      </c>
      <c r="H25" s="3" t="s">
        <v>250</v>
      </c>
      <c r="I25" s="58" t="s">
        <v>249</v>
      </c>
      <c r="J25" s="58" t="s">
        <v>248</v>
      </c>
      <c r="K25" s="58"/>
      <c r="L25" s="3" t="s">
        <v>247</v>
      </c>
      <c r="M25" s="4" t="e">
        <f>VLOOKUP([1]!Table1[[#This Row],[Importance]],'[1]Logic and Calculation'!$H$3:$J$12,3,FALSE)</f>
        <v>#VALUE!</v>
      </c>
      <c r="N25" s="4">
        <v>8</v>
      </c>
      <c r="O25" s="4" t="e">
        <f>VLOOKUP([1]!Table1[[#This Row],[Importance]],'[1]Logic and Calculation'!$H$3:$J$12,2,FALSE)</f>
        <v>#VALUE!</v>
      </c>
      <c r="P25" s="12"/>
    </row>
    <row r="26" spans="1:16" ht="108" x14ac:dyDescent="0.3">
      <c r="A26" s="62" t="s">
        <v>246</v>
      </c>
      <c r="B26" s="61" t="s">
        <v>245</v>
      </c>
      <c r="C26" s="61" t="s">
        <v>244</v>
      </c>
      <c r="D26" s="60" t="s">
        <v>17</v>
      </c>
      <c r="E26" s="59" t="s">
        <v>243</v>
      </c>
      <c r="F26" s="3" t="s">
        <v>242</v>
      </c>
      <c r="G26" s="3" t="s">
        <v>241</v>
      </c>
      <c r="H26" s="3" t="s">
        <v>240</v>
      </c>
      <c r="I26" s="58" t="s">
        <v>239</v>
      </c>
      <c r="J26" s="58" t="s">
        <v>238</v>
      </c>
      <c r="K26" s="58"/>
      <c r="L26" s="3" t="s">
        <v>237</v>
      </c>
      <c r="M26" s="4" t="e">
        <f>VLOOKUP([1]!Table1[[#This Row],[Importance]],'[1]Logic and Calculation'!$H$3:$J$12,3,FALSE)</f>
        <v>#VALUE!</v>
      </c>
      <c r="N26" s="4">
        <v>7</v>
      </c>
      <c r="O26" s="4" t="e">
        <f>VLOOKUP([1]!Table1[[#This Row],[Importance]],'[1]Logic and Calculation'!$H$3:$J$12,2,FALSE)</f>
        <v>#VALUE!</v>
      </c>
      <c r="P26" s="12"/>
    </row>
    <row r="27" spans="1:16" ht="60" x14ac:dyDescent="0.3">
      <c r="A27" s="63" t="s">
        <v>255</v>
      </c>
      <c r="B27" s="64" t="s">
        <v>256</v>
      </c>
      <c r="C27" s="65" t="s">
        <v>257</v>
      </c>
      <c r="D27" s="59" t="s">
        <v>17</v>
      </c>
      <c r="E27" s="59" t="s">
        <v>258</v>
      </c>
      <c r="F27" s="3" t="s">
        <v>259</v>
      </c>
      <c r="G27" s="3" t="s">
        <v>260</v>
      </c>
      <c r="H27" s="3" t="s">
        <v>261</v>
      </c>
      <c r="I27" s="58" t="s">
        <v>262</v>
      </c>
      <c r="J27" s="58" t="s">
        <v>263</v>
      </c>
      <c r="K27" s="58"/>
      <c r="L27" s="3" t="s">
        <v>264</v>
      </c>
      <c r="M27" s="66" t="e">
        <f>VLOOKUP([1]!Table1[[#This Row],[Importance]],'[1]Logic and Calculation'!$H$3:$J$12,3,FALSE)</f>
        <v>#VALUE!</v>
      </c>
      <c r="N27" s="66">
        <v>8</v>
      </c>
      <c r="O27" s="66" t="e">
        <f>VLOOKUP([1]!Table1[[#This Row],[Importance]],'[1]Logic and Calculation'!$H$3:$J$12,2,FALSE)</f>
        <v>#VALUE!</v>
      </c>
      <c r="P27" s="67"/>
    </row>
    <row r="28" spans="1:16" ht="48" x14ac:dyDescent="0.3">
      <c r="A28" s="63" t="s">
        <v>255</v>
      </c>
      <c r="B28" s="64" t="s">
        <v>265</v>
      </c>
      <c r="C28" s="65" t="s">
        <v>266</v>
      </c>
      <c r="D28" s="60" t="s">
        <v>17</v>
      </c>
      <c r="E28" s="59" t="s">
        <v>258</v>
      </c>
      <c r="F28" s="3" t="s">
        <v>267</v>
      </c>
      <c r="G28" s="3" t="s">
        <v>268</v>
      </c>
      <c r="H28" s="3" t="s">
        <v>269</v>
      </c>
      <c r="I28" s="58" t="s">
        <v>270</v>
      </c>
      <c r="J28" s="58" t="s">
        <v>271</v>
      </c>
      <c r="K28" s="58"/>
      <c r="L28" s="3" t="s">
        <v>272</v>
      </c>
      <c r="M28" s="66" t="e">
        <f>VLOOKUP([1]!Table1[[#This Row],[Importance]],'[1]Logic and Calculation'!$H$3:$J$12,3,FALSE)</f>
        <v>#VALUE!</v>
      </c>
      <c r="N28" s="66">
        <v>6</v>
      </c>
      <c r="O28" s="66" t="e">
        <f>VLOOKUP([1]!Table1[[#This Row],[Importance]],'[1]Logic and Calculation'!$H$3:$J$12,2,FALSE)</f>
        <v>#VALUE!</v>
      </c>
      <c r="P28" s="67"/>
    </row>
  </sheetData>
  <phoneticPr fontId="14" type="noConversion"/>
  <conditionalFormatting sqref="D2:D24">
    <cfRule type="cellIs" dxfId="8" priority="10" stopIfTrue="1" operator="equal">
      <formula>"OK"</formula>
    </cfRule>
    <cfRule type="cellIs" dxfId="7" priority="11" stopIfTrue="1" operator="equal">
      <formula>"PARTIAL"</formula>
    </cfRule>
    <cfRule type="cellIs" dxfId="6" priority="12" stopIfTrue="1" operator="equal">
      <formula>"FLAG"</formula>
    </cfRule>
  </conditionalFormatting>
  <conditionalFormatting sqref="D25:D26">
    <cfRule type="cellIs" dxfId="5" priority="4" stopIfTrue="1" operator="equal">
      <formula>"OK"</formula>
    </cfRule>
    <cfRule type="cellIs" dxfId="4" priority="5" stopIfTrue="1" operator="equal">
      <formula>"PARTIAL"</formula>
    </cfRule>
    <cfRule type="cellIs" dxfId="3" priority="6" stopIfTrue="1" operator="equal">
      <formula>"FLAG"</formula>
    </cfRule>
  </conditionalFormatting>
  <conditionalFormatting sqref="D27:E28">
    <cfRule type="cellIs" dxfId="2" priority="1" stopIfTrue="1" operator="equal">
      <formula>"OK"</formula>
    </cfRule>
    <cfRule type="cellIs" dxfId="1" priority="2" stopIfTrue="1" operator="equal">
      <formula>"PARTIAL"</formula>
    </cfRule>
    <cfRule type="cellIs" dxfId="0" priority="3" stopIfTrue="1" operator="equal">
      <formula>"FLAG"</formula>
    </cfRule>
  </conditionalFormatting>
  <dataValidations count="1">
    <dataValidation type="list" allowBlank="1" sqref="D2:D26 D27:E28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0"/>
  <sheetViews>
    <sheetView workbookViewId="0">
      <pane ySplit="7" topLeftCell="A8" activePane="bottomLeft" state="frozen"/>
      <selection pane="bottomLeft" activeCell="J26" sqref="J26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19</v>
      </c>
    </row>
    <row r="2" spans="1:13" x14ac:dyDescent="0.3">
      <c r="A2" t="s">
        <v>20</v>
      </c>
      <c r="B2">
        <v>100</v>
      </c>
      <c r="D2" t="s">
        <v>21</v>
      </c>
      <c r="H2" s="9" t="s">
        <v>14</v>
      </c>
      <c r="I2" s="9" t="s">
        <v>22</v>
      </c>
      <c r="J2" s="9" t="s">
        <v>23</v>
      </c>
      <c r="L2" s="19" t="s">
        <v>49</v>
      </c>
      <c r="M2" s="19" t="s">
        <v>24</v>
      </c>
    </row>
    <row r="3" spans="1:13" x14ac:dyDescent="0.3">
      <c r="A3" t="s">
        <v>25</v>
      </c>
      <c r="B3">
        <f>SUM(F8:F967)</f>
        <v>0</v>
      </c>
      <c r="D3" t="s">
        <v>46</v>
      </c>
      <c r="H3">
        <v>10</v>
      </c>
      <c r="I3" s="39">
        <v>-30</v>
      </c>
      <c r="J3" t="s">
        <v>26</v>
      </c>
      <c r="L3" t="s">
        <v>45</v>
      </c>
      <c r="M3" t="s">
        <v>40</v>
      </c>
    </row>
    <row r="4" spans="1:13" x14ac:dyDescent="0.3">
      <c r="A4" t="s">
        <v>27</v>
      </c>
      <c r="B4">
        <f>B2+B3</f>
        <v>100</v>
      </c>
      <c r="D4" t="s">
        <v>47</v>
      </c>
      <c r="H4">
        <v>9</v>
      </c>
      <c r="I4" s="39">
        <v>-27</v>
      </c>
      <c r="J4" t="s">
        <v>28</v>
      </c>
      <c r="L4" t="s">
        <v>44</v>
      </c>
      <c r="M4" t="s">
        <v>41</v>
      </c>
    </row>
    <row r="5" spans="1:13" x14ac:dyDescent="0.3">
      <c r="A5" t="s">
        <v>54</v>
      </c>
      <c r="B5" t="str">
        <f>IF(B4&gt;=75,"Healthy",IF(AND(B4&lt;=74,B4&gt;=40),"Needs Attention","At Risk"))</f>
        <v>Healthy</v>
      </c>
      <c r="D5" t="s">
        <v>48</v>
      </c>
      <c r="H5">
        <v>8</v>
      </c>
      <c r="I5" s="39">
        <v>-24</v>
      </c>
      <c r="J5" t="s">
        <v>28</v>
      </c>
      <c r="L5" t="s">
        <v>43</v>
      </c>
      <c r="M5" t="s">
        <v>42</v>
      </c>
    </row>
    <row r="6" spans="1:13" x14ac:dyDescent="0.3">
      <c r="A6" t="s">
        <v>29</v>
      </c>
      <c r="B6" t="s">
        <v>30</v>
      </c>
      <c r="H6">
        <v>7</v>
      </c>
      <c r="I6" s="39">
        <v>-21</v>
      </c>
      <c r="J6" t="s">
        <v>18</v>
      </c>
    </row>
    <row r="7" spans="1:13" x14ac:dyDescent="0.3">
      <c r="H7">
        <v>6</v>
      </c>
      <c r="I7" s="39">
        <v>-18</v>
      </c>
      <c r="J7" t="s">
        <v>18</v>
      </c>
    </row>
    <row r="8" spans="1:13" x14ac:dyDescent="0.3">
      <c r="A8" t="str">
        <f>'Account Health_Reference'!B2</f>
        <v>H001</v>
      </c>
      <c r="B8" t="str">
        <f>'Account Health_Reference'!A2</f>
        <v>KPI Performance</v>
      </c>
      <c r="C8" t="str">
        <f>'Account Health_Reference'!C2</f>
        <v>ROAS vs Target</v>
      </c>
      <c r="D8" t="str">
        <f>'Account Health_Reference'!D2</f>
        <v>OK</v>
      </c>
      <c r="E8">
        <f>'Account Health_Reference'!N2</f>
        <v>-15</v>
      </c>
      <c r="F8">
        <f t="shared" ref="F8:F30" si="0">IF(D8="FLAG",E8,IF(D8="PARTIAL",E8*0.5,0))</f>
        <v>0</v>
      </c>
      <c r="H8">
        <v>5</v>
      </c>
      <c r="I8" s="39">
        <v>-15</v>
      </c>
      <c r="J8" t="s">
        <v>18</v>
      </c>
    </row>
    <row r="9" spans="1:13" x14ac:dyDescent="0.3">
      <c r="A9" t="str">
        <f>'Account Health_Reference'!B3</f>
        <v>H002</v>
      </c>
      <c r="B9" t="str">
        <f>'Account Health_Reference'!A3</f>
        <v>KPI Performance</v>
      </c>
      <c r="C9" t="str">
        <f>'Account Health_Reference'!C3</f>
        <v>Spend Pacing vs Monthly Budget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39">
        <v>-12</v>
      </c>
      <c r="J9" t="s">
        <v>31</v>
      </c>
    </row>
    <row r="10" spans="1:13" x14ac:dyDescent="0.3">
      <c r="A10" t="str">
        <f>'Account Health_Reference'!B4</f>
        <v>H003</v>
      </c>
      <c r="B10" t="str">
        <f>'Account Health_Reference'!A4</f>
        <v>KPI Performance</v>
      </c>
      <c r="C10" t="str">
        <f>'Account Health_Reference'!C4</f>
        <v>Revenue (AdSales) YoY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39">
        <v>-9</v>
      </c>
      <c r="J10" t="s">
        <v>31</v>
      </c>
    </row>
    <row r="11" spans="1:13" x14ac:dyDescent="0.3">
      <c r="A11" t="str">
        <f>'Account Health_Reference'!B5</f>
        <v>H004</v>
      </c>
      <c r="B11" t="str">
        <f>'Account Health_Reference'!A5</f>
        <v>KPI Performance</v>
      </c>
      <c r="C11" t="str">
        <f>'Account Health_Reference'!C5</f>
        <v>Orders / Conversions YoY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39">
        <v>-6</v>
      </c>
      <c r="J11" t="s">
        <v>32</v>
      </c>
    </row>
    <row r="12" spans="1:13" x14ac:dyDescent="0.3">
      <c r="A12" t="str">
        <f>'Account Health_Reference'!B6</f>
        <v>H005</v>
      </c>
      <c r="B12" t="str">
        <f>'Account Health_Reference'!A6</f>
        <v>KPI Performance</v>
      </c>
      <c r="C12" t="str">
        <f>'Account Health_Reference'!C6</f>
        <v>ACoS Trend YoY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39">
        <v>0</v>
      </c>
      <c r="J12" t="s">
        <v>32</v>
      </c>
    </row>
    <row r="13" spans="1:13" x14ac:dyDescent="0.3">
      <c r="A13" t="str">
        <f>'Account Health_Reference'!B7</f>
        <v>H006</v>
      </c>
      <c r="B13" t="str">
        <f>'Account Health_Reference'!A7</f>
        <v>KPI Performance</v>
      </c>
      <c r="C13" t="str">
        <f>'Account Health_Reference'!C7</f>
        <v>CPC Trend YoY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H007</v>
      </c>
      <c r="B14" t="str">
        <f>'Account Health_Reference'!A8</f>
        <v>Efficiency Trends</v>
      </c>
      <c r="C14" t="str">
        <f>'Account Health_Reference'!C8</f>
        <v>CTR Trend YoY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H008</v>
      </c>
      <c r="B15" t="str">
        <f>'Account Health_Reference'!A9</f>
        <v>Efficiency Trends</v>
      </c>
      <c r="C15" t="str">
        <f>'Account Health_Reference'!C9</f>
        <v>Conversion Rate Trend YoY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H009</v>
      </c>
      <c r="B16" t="str">
        <f>'Account Health_Reference'!A10</f>
        <v>Efficiency Trends</v>
      </c>
      <c r="C16" t="str">
        <f>'Account Health_Reference'!C10</f>
        <v>MoM Revenue Trend (L3M)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H010</v>
      </c>
      <c r="B17" t="str">
        <f>'Account Health_Reference'!A11</f>
        <v>Efficiency Trends</v>
      </c>
      <c r="C17" t="str">
        <f>'Account Health_Reference'!C11</f>
        <v>MoM ACoS Trend (L3M)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H011</v>
      </c>
      <c r="B18" t="str">
        <f>'Account Health_Reference'!A12</f>
        <v>Campaign &amp; Channel Health</v>
      </c>
      <c r="C18" t="str">
        <f>'Account Health_Reference'!C12</f>
        <v>PMAX Shopping Spend Share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H012</v>
      </c>
      <c r="B19" t="str">
        <f>'Account Health_Reference'!A13</f>
        <v>Campaign &amp; Channel Health</v>
      </c>
      <c r="C19" t="str">
        <f>'Account Health_Reference'!C13</f>
        <v>Channel Type Mix (PMAX / Search / Shopping)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H013</v>
      </c>
      <c r="B20" t="str">
        <f>'Account Health_Reference'!A14</f>
        <v>Campaign &amp; Channel Health</v>
      </c>
      <c r="C20" t="str">
        <f>'Account Health_Reference'!C14</f>
        <v>Zero-Spend Active Campaign Rate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H014</v>
      </c>
      <c r="B21" t="str">
        <f>'Account Health_Reference'!A15</f>
        <v>Product &amp; Feed Health</v>
      </c>
      <c r="C21" t="str">
        <f>'Account Health_Reference'!C15</f>
        <v>Price Competitiveness Score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H015</v>
      </c>
      <c r="B22" t="str">
        <f>'Account Health_Reference'!A16</f>
        <v>Product &amp; Feed Health</v>
      </c>
      <c r="C22" t="str">
        <f>'Account Health_Reference'!C16</f>
        <v>Top 5 Products Revenue Concentration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H016</v>
      </c>
      <c r="B23" t="str">
        <f>'Account Health_Reference'!A17</f>
        <v>Product &amp; Feed Health</v>
      </c>
      <c r="C23" t="str">
        <f>'Account Health_Reference'!C17</f>
        <v>Device Performance Split (Desktop vs Mobile)</v>
      </c>
      <c r="D23" t="str">
        <f>'Account Health_Reference'!D17</f>
        <v>OK</v>
      </c>
      <c r="E23">
        <f>'Account Health_Reference'!N17</f>
        <v>0</v>
      </c>
      <c r="F23">
        <f t="shared" si="0"/>
        <v>0</v>
      </c>
    </row>
    <row r="24" spans="1:6" x14ac:dyDescent="0.3">
      <c r="A24" t="str">
        <f>'Account Health_Reference'!B18</f>
        <v>H017</v>
      </c>
      <c r="B24" t="str">
        <f>'Account Health_Reference'!A18</f>
        <v>Account Infrastructure</v>
      </c>
      <c r="C24" t="str">
        <f>'Account Health_Reference'!C18</f>
        <v>Billing Status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H018</v>
      </c>
      <c r="B25" t="str">
        <f>'Account Health_Reference'!A19</f>
        <v>Account Infrastructure</v>
      </c>
      <c r="C25" t="str">
        <f>'Account Health_Reference'!C19</f>
        <v>Churn Risk Signal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H019</v>
      </c>
      <c r="B26" t="str">
        <f>'Account Health_Reference'!A20</f>
        <v>Account Infrastructure</v>
      </c>
      <c r="C26" t="str">
        <f>'Account Health_Reference'!C20</f>
        <v>QR Score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H020</v>
      </c>
      <c r="B27" t="str">
        <f>'Account Health_Reference'!A21</f>
        <v>Account Infrastructure</v>
      </c>
      <c r="C27" t="str">
        <f>'Account Health_Reference'!C21</f>
        <v>MRR vs Monthly Budget Ratio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H021</v>
      </c>
      <c r="B28" t="str">
        <f>'Account Health_Reference'!A22</f>
        <v>Manual Review</v>
      </c>
      <c r="C28" t="str">
        <f>'Account Health_Reference'!C22</f>
        <v>Conversion Tag Health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H022</v>
      </c>
      <c r="B29" t="str">
        <f>'Account Health_Reference'!A23</f>
        <v>Manual Review</v>
      </c>
      <c r="C29" t="str">
        <f>'Account Health_Reference'!C23</f>
        <v>GMC + GA4 Connection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H023</v>
      </c>
      <c r="B30" t="str">
        <f>'Account Health_Reference'!A24</f>
        <v>Manual Review</v>
      </c>
      <c r="C30" t="str">
        <f>'Account Health_Reference'!C24</f>
        <v>Product Disapproval Rate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2026-07-08T16:36:30Z</dcterms:modified>
</cp:coreProperties>
</file>