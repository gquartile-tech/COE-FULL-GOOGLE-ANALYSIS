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codeName="ThisWorkbook"/>
  <mc:AlternateContent xmlns:mc="http://schemas.openxmlformats.org/markup-compatibility/2006">
    <mc:Choice Requires="x15">
      <x15ac:absPath xmlns:x15ac="http://schemas.microsoft.com/office/spreadsheetml/2010/11/ac" url="https://quartiledigital-my.sharepoint.com/personal/jose_adorno_quartile_com/Documents/"/>
    </mc:Choice>
  </mc:AlternateContent>
  <xr:revisionPtr revIDLastSave="0" documentId="8_{3EE803A0-221A-4DF5-AD9B-06429FCA47D7}" xr6:coauthVersionLast="47" xr6:coauthVersionMax="47" xr10:uidLastSave="{00000000-0000-0000-0000-000000000000}"/>
  <bookViews>
    <workbookView xWindow="-120" yWindow="-120" windowWidth="38640" windowHeight="21120" xr2:uid="{00000000-000D-0000-FFFF-FFFF00000000}"/>
  </bookViews>
  <sheets>
    <sheet name="New-Test (TBD) (2)" sheetId="2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21" l="1"/>
  <c r="E65" i="21"/>
  <c r="E3" i="21" a="1"/>
  <c r="E3" i="21"/>
  <c r="I6" i="21"/>
  <c r="I5" i="21"/>
  <c r="I3" i="21"/>
  <c r="D97" i="21" a="1"/>
  <c r="D97" i="21" s="1"/>
  <c r="C97" i="21" a="1"/>
  <c r="C97" i="21" s="1"/>
  <c r="E36" i="21"/>
  <c r="E28" i="21"/>
  <c r="E23" i="21"/>
  <c r="E62" i="21"/>
  <c r="I4" i="21"/>
  <c r="E15" i="21"/>
  <c r="D8" i="21"/>
  <c r="D5" i="21"/>
  <c r="E86" i="21" l="1"/>
  <c r="I2"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tc={E28C4985-3C03-4C03-B3D1-9B46D96B5903}</author>
  </authors>
  <commentList>
    <comment ref="B75" authorId="0" shapeId="0" xr:uid="{E28C4985-3C03-4C03-B3D1-9B46D96B5903}">
      <text>
        <t>[Threaded comment]
Your version of Excel allows you to read this threaded comment; however, any edits to it will get removed if the file is opened in a newer version of Excel. Learn more: https://go.microsoft.com/fwlink/?linkid=870924
Comment:
    AI Max</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<sst xmlns="http://schemas.openxmlformats.org/spreadsheetml/2006/main" count="115" uniqueCount="112">
  <si>
    <t>Scorecard</t>
  </si>
  <si>
    <t>Overall Ratings</t>
  </si>
  <si>
    <t>Summary</t>
  </si>
  <si>
    <t>SCORE (1-5)</t>
  </si>
  <si>
    <t>Notes</t>
  </si>
  <si>
    <t>Account Health</t>
  </si>
  <si>
    <t>Account Health (25%)</t>
  </si>
  <si>
    <t>ROAS Goal</t>
  </si>
  <si>
    <t>Scoring: 
1. Are we hitting Return Goals?
2. If there is a budget, are we within +/- 5%?
3. Are we scaling?
4. If we are scaling, are we staying efficient?</t>
  </si>
  <si>
    <t>Mastery</t>
  </si>
  <si>
    <t>Actual ROAS (Last 30)</t>
  </si>
  <si>
    <t>Strategy</t>
  </si>
  <si>
    <t>% to Goal</t>
  </si>
  <si>
    <t>Framework</t>
  </si>
  <si>
    <t>Budget Goal (Monthly)</t>
  </si>
  <si>
    <t>Implementation</t>
  </si>
  <si>
    <t>Actual Spend (Last 30)</t>
  </si>
  <si>
    <t>Revenue (% Change vs. Lookback)</t>
  </si>
  <si>
    <t>ROAS (% Change vs. Lookback)</t>
  </si>
  <si>
    <t>Conversions (% Change vs. Lookback)</t>
  </si>
  <si>
    <t>Conversion Rate (%Change vs Lookback)</t>
  </si>
  <si>
    <t>Spend (%Change vs Lookback)</t>
  </si>
  <si>
    <t>DTC - Google</t>
  </si>
  <si>
    <t>Implementation (10%)</t>
  </si>
  <si>
    <t>Billing Status</t>
  </si>
  <si>
    <t>Policy Violations</t>
  </si>
  <si>
    <t>Conversion Actions</t>
  </si>
  <si>
    <t>GMC and GA4 linked</t>
  </si>
  <si>
    <t>Product Status (Disaprovals &lt; 10%)</t>
  </si>
  <si>
    <t>Data Sources</t>
  </si>
  <si>
    <t>Feed Source</t>
  </si>
  <si>
    <t>Shopify Connection</t>
  </si>
  <si>
    <t>Mastery (20%)</t>
  </si>
  <si>
    <t>Relationship Score (60% of mastery)</t>
  </si>
  <si>
    <t>Meeting Frequency (at least once a month)</t>
  </si>
  <si>
    <t>Touchpoint frequency (at least biweekly)</t>
  </si>
  <si>
    <t>Budgets and Goals (Updated Monthly) (Min grade)</t>
  </si>
  <si>
    <t>Asset Approval Conversation</t>
  </si>
  <si>
    <t>Internal Slack Communication (SMB Only)</t>
  </si>
  <si>
    <t>QT Tech Mastery (40% of mastery)</t>
  </si>
  <si>
    <t>Dynamic Performance Labels (DPL)</t>
  </si>
  <si>
    <t>Custom Labels (at least 2 managed by QT)</t>
  </si>
  <si>
    <t>Transformers (Mapping)</t>
  </si>
  <si>
    <t>Price Competitiveness</t>
  </si>
  <si>
    <t>Feed Based Inv. Filters</t>
  </si>
  <si>
    <t>Titles/Descriptions</t>
  </si>
  <si>
    <t>Product Types</t>
  </si>
  <si>
    <t>Brands</t>
  </si>
  <si>
    <t>Framework (20%)</t>
  </si>
  <si>
    <t>Account - Auto-Apply Settings Disabled</t>
  </si>
  <si>
    <t>Account - Ad extensions</t>
  </si>
  <si>
    <t>Account - Custom Segment Creation</t>
  </si>
  <si>
    <t>Account - Final URL</t>
  </si>
  <si>
    <t>Account - Location Targeting</t>
  </si>
  <si>
    <t>Account - Naming Conventions</t>
  </si>
  <si>
    <t>Account - Negative KW lists</t>
  </si>
  <si>
    <t>Account - Promotion End dates</t>
  </si>
  <si>
    <t>Display/Demand Gen - Optimized Targeting</t>
  </si>
  <si>
    <t>Paid Search - Display Expansion Disabled</t>
  </si>
  <si>
    <t>PMax - Extension Settings</t>
  </si>
  <si>
    <t>PMax - Images</t>
  </si>
  <si>
    <t>PMax - Placements (&gt;80% PLA or Adequate to Performance difference)</t>
  </si>
  <si>
    <t>PMax - Search Themes</t>
  </si>
  <si>
    <t>Search - Ad Disapprovals</t>
  </si>
  <si>
    <t>Search - Ad Strength</t>
  </si>
  <si>
    <t>Shopping - Campaign Priorities</t>
  </si>
  <si>
    <t>Shopping/PMax - Audiences</t>
  </si>
  <si>
    <t>Shopping/PMax - ID Funneling</t>
  </si>
  <si>
    <t>Strategy (25%)</t>
  </si>
  <si>
    <t># of Campaigns</t>
  </si>
  <si>
    <t>Shopping/PMax - Core Strategies</t>
  </si>
  <si>
    <t>Shopping/PMax - Catchall/Everything Else</t>
  </si>
  <si>
    <t>Shoppping/PMax - TOP Products</t>
  </si>
  <si>
    <t>Shopping/PMax - Price Tier/Margins</t>
  </si>
  <si>
    <t>Shopping/PMax - Brand Campaigns</t>
  </si>
  <si>
    <t>Shopping - Suppression</t>
  </si>
  <si>
    <t>Shopping/PMax - Product Type Campaigns</t>
  </si>
  <si>
    <t>Paid Search - Core Strategies</t>
  </si>
  <si>
    <t>Paid Search - Trademark Exact or SKW</t>
  </si>
  <si>
    <t>Paid Search  - NB</t>
  </si>
  <si>
    <t>Paid Search - NB DSA</t>
  </si>
  <si>
    <t>Shopping/PMax</t>
  </si>
  <si>
    <t>Shopping/PMax - CWCD</t>
  </si>
  <si>
    <t>Shopping - Zombie</t>
  </si>
  <si>
    <t>Shopping - Remnant</t>
  </si>
  <si>
    <t>Shopping - Query-Based</t>
  </si>
  <si>
    <t>Shopping/PMAX - Push Campaign</t>
  </si>
  <si>
    <t>Shopping - Price Competitiveness</t>
  </si>
  <si>
    <t>Shopping/PMax - Devices</t>
  </si>
  <si>
    <t>PMax - PMax Asset-Only</t>
  </si>
  <si>
    <t>PMax - NCA</t>
  </si>
  <si>
    <t>Peformance Max - Pmax Feed-Only</t>
  </si>
  <si>
    <t>Paid Search</t>
  </si>
  <si>
    <t>Paid Search - TM Products</t>
  </si>
  <si>
    <t>Paid Search - Seasonal Campaigns</t>
  </si>
  <si>
    <t>Paid Search - New/Returning</t>
  </si>
  <si>
    <t>Paid Search - Match Types</t>
  </si>
  <si>
    <t>Paid Search - Competitor</t>
  </si>
  <si>
    <t>Paid Search - Brand Campaigns (Search)</t>
  </si>
  <si>
    <t>Paid Search - GEO-Targeting</t>
  </si>
  <si>
    <t>Demand Gen/Display</t>
  </si>
  <si>
    <t>Demand Gen - Prospecting</t>
  </si>
  <si>
    <t>Demand Gen - Remarketing</t>
  </si>
  <si>
    <t>Demand Gen - Lookalike Audiences</t>
  </si>
  <si>
    <t>Demand Gen - AI Generated Images</t>
  </si>
  <si>
    <t>DTC - Google Score</t>
  </si>
  <si>
    <t>Status</t>
  </si>
  <si>
    <t>QR Recommendations</t>
  </si>
  <si>
    <t>Primary Optimization</t>
  </si>
  <si>
    <t>Secondary Optimization</t>
  </si>
  <si>
    <t>Housekeeping Topics</t>
  </si>
  <si>
    <t>Housekeeping Topics
(Mission Critical and Account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</si>
</sst>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12">
    <font>
      <sz val="11"/>
      <color theme="1"/>
      <name val="Aptos Narrow"/>
      <family val="2"/>
      <scheme val="minor"/>
    </font>
    <font>
      <b/>
      <sz val="11"/>
      <color rgb="FF000000"/>
      <name val="Aptos Narrow"/>
      <family val="2"/>
      <scheme val="minor"/>
    </font>
    <font>
      <b/>
      <sz val="11"/>
      <color theme="1"/>
      <name val="Aptos Narrow"/>
      <family val="2"/>
      <scheme val="minor"/>
    </font>
    <font>
      <b/>
      <sz val="16"/>
      <color theme="1"/>
      <name val="Aptos Narrow"/>
      <family val="2"/>
      <scheme val="minor"/>
    </font>
    <font>
      <sz val="11"/>
      <color rgb="FF000000"/>
      <name val="Aptos Narrow"/>
      <family val="2"/>
      <scheme val="minor"/>
    </font>
    <font>
      <sz val="11"/>
      <color theme="1"/>
      <name val="Aptos Narrow"/>
      <family val="2"/>
      <scheme val="minor"/>
    </font>
    <font>
      <b/>
      <sz val="11"/>
      <color theme="0"/>
      <name val="Aptos Narrow"/>
      <family val="2"/>
      <scheme val="minor"/>
    </font>
    <font>
      <sz val="20"/>
      <color theme="1"/>
      <name val="Aptos Narrow"/>
      <family val="2"/>
      <scheme val="minor"/>
    </font>
    <font>
      <sz val="12"/>
      <color theme="1"/>
      <name val="Aptos Narrow"/>
      <family val="2"/>
      <scheme val="minor"/>
    </font>
    <font>
      <b/>
      <sz val="11"/>
      <color rgb="FF000000"/>
      <name val="Calibri"/>
      <family val="2"/>
    </font>
    <font>
      <sz val="11"/>
      <color rgb="FF000000"/>
      <name val="Calibri"/>
      <family val="2"/>
    </font>
    <font>
      <sz val="11"/>
      <color rgb="FF000000"/>
      <name val="Aptos Narrow"/>
      <charset val="1"/>
    </font>
  </fonts>
  <fills count="2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7F7F7"/>
        <bgColor indexed="64"/>
      </patternFill>
    </fill>
    <fill>
      <patternFill patternType="solid">
        <fgColor theme="5"/>
        <bgColor indexed="64"/>
      </patternFill>
    </fill>
    <fill>
      <patternFill patternType="solid">
        <fgColor them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rgb="FFFFC000"/>
        <bgColor indexed="64"/>
      </patternFill>
    </fill>
    <fill>
      <patternFill patternType="solid">
        <fgColor rgb="FFFFFF00"/>
        <bgColor indexed="64"/>
      </patternFill>
    </fill>
    <fill>
      <patternFill patternType="solid">
        <fgColor theme="8" tint="0.79998168889431442"/>
        <bgColor indexed="64"/>
      </patternFill>
    </fill>
    <fill>
      <patternFill patternType="solid">
        <fgColor rgb="FF0070C0"/>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2CEEF"/>
        <bgColor rgb="FF000000"/>
      </patternFill>
    </fill>
    <fill>
      <patternFill patternType="solid">
        <fgColor rgb="FFE87331"/>
        <bgColor rgb="FF000000"/>
      </patternFill>
    </fill>
    <fill>
      <patternFill patternType="solid">
        <fgColor rgb="FFDAF2D0"/>
        <bgColor rgb="FF000000"/>
      </patternFill>
    </fill>
    <fill>
      <patternFill patternType="solid">
        <fgColor rgb="FFFAFBC7"/>
        <bgColor rgb="FF000000"/>
      </patternFill>
    </fill>
    <fill>
      <patternFill patternType="solid">
        <fgColor theme="2" tint="-9.9978637043366805E-2"/>
        <bgColor indexed="64"/>
      </patternFill>
    </fill>
    <fill>
      <patternFill patternType="solid">
        <fgColor rgb="FF9FB2E9"/>
        <bgColor rgb="FF000000"/>
      </patternFill>
    </fill>
    <fill>
      <patternFill patternType="solid">
        <fgColor rgb="FF9FB2E9"/>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5A4A5"/>
        <bgColor indexed="64"/>
      </patternFill>
    </fill>
  </fills>
  <borders count="69">
    <border>
      <left/>
      <right/>
      <top/>
      <bottom/>
      <diagonal/>
    </border>
    <border>
      <left style="thick">
        <color theme="0"/>
      </left>
      <right style="thick">
        <color theme="0"/>
      </right>
      <top style="thick">
        <color theme="0"/>
      </top>
      <bottom style="thick">
        <color theme="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indexed="64"/>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indexed="64"/>
      </left>
      <right style="medium">
        <color indexed="64"/>
      </right>
      <top style="medium">
        <color indexed="64"/>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style="medium">
        <color indexed="64"/>
      </left>
      <right style="medium">
        <color indexed="64"/>
      </right>
      <top/>
      <bottom/>
      <diagonal/>
    </border>
    <border>
      <left/>
      <right/>
      <top style="thin">
        <color rgb="FF000000"/>
      </top>
      <bottom style="medium">
        <color indexed="64"/>
      </bottom>
      <diagonal/>
    </border>
    <border>
      <left style="medium">
        <color indexed="64"/>
      </left>
      <right/>
      <top style="thin">
        <color rgb="FF000000"/>
      </top>
      <bottom style="medium">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bottom style="thin">
        <color rgb="FF000000"/>
      </bottom>
      <diagonal/>
    </border>
    <border>
      <left/>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top style="thin">
        <color rgb="FF000000"/>
      </top>
      <bottom/>
      <diagonal/>
    </border>
    <border>
      <left style="medium">
        <color rgb="FF000000"/>
      </left>
      <right style="medium">
        <color rgb="FF000000"/>
      </right>
      <top/>
      <bottom style="medium">
        <color indexed="64"/>
      </bottom>
      <diagonal/>
    </border>
    <border>
      <left style="medium">
        <color indexed="64"/>
      </left>
      <right/>
      <top style="medium">
        <color indexed="64"/>
      </top>
      <bottom style="medium">
        <color indexed="64"/>
      </bottom>
      <diagonal/>
    </border>
    <border>
      <left style="thin">
        <color rgb="FF000000"/>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right style="thin">
        <color rgb="FF000000"/>
      </right>
      <top/>
      <bottom/>
      <diagonal/>
    </border>
    <border>
      <left style="medium">
        <color indexed="64"/>
      </left>
      <right/>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top/>
      <bottom style="medium">
        <color rgb="FF000000"/>
      </bottom>
      <diagonal/>
    </border>
    <border>
      <left/>
      <right/>
      <top style="medium">
        <color rgb="FF000000"/>
      </top>
      <bottom style="thin">
        <color rgb="FF000000"/>
      </bottom>
      <diagonal/>
    </border>
    <border>
      <left style="medium">
        <color indexed="64"/>
      </left>
      <right/>
      <top/>
      <bottom/>
      <diagonal/>
    </border>
    <border>
      <left style="medium">
        <color indexed="64"/>
      </left>
      <right style="thin">
        <color rgb="FF000000"/>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bottom style="medium">
        <color rgb="FF000000"/>
      </bottom>
      <diagonal/>
    </border>
    <border>
      <left/>
      <right style="thin">
        <color rgb="FF000000"/>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style="thin">
        <color rgb="FF000000"/>
      </top>
      <bottom style="medium">
        <color indexed="64"/>
      </bottom>
      <diagonal/>
    </border>
  </borders>
  <cellStyleXfs count="3">
    <xf numFmtId="0" fontId="0" fillId="0" borderId="0"/>
    <xf numFmtId="0" fontId="5" fillId="2" borderId="1" applyProtection="0">
      <alignment horizontal="left" vertical="center" wrapText="1"/>
    </xf>
    <xf numFmtId="0" fontId="2" fillId="4" borderId="1">
      <alignment horizontal="left" vertical="center" wrapText="1"/>
    </xf>
  </cellStyleXfs>
  <cellXfs count="174">
    <xf numFmtId="0" fontId="0" fillId="0" borderId="0" xfId="0"/>
    <xf numFmtId="0" fontId="6" fillId="5" borderId="4" xfId="0" applyFont="1" applyFill="1" applyBorder="1" applyAlignment="1">
      <alignment horizontal="center"/>
    </xf>
    <xf numFmtId="0" fontId="6" fillId="5" borderId="4" xfId="0" applyFont="1" applyFill="1" applyBorder="1"/>
    <xf numFmtId="0" fontId="6" fillId="5" borderId="6" xfId="0" applyFont="1" applyFill="1" applyBorder="1" applyAlignment="1">
      <alignment horizontal="center"/>
    </xf>
    <xf numFmtId="0" fontId="0" fillId="0" borderId="11" xfId="0" applyBorder="1"/>
    <xf numFmtId="0" fontId="0" fillId="0" borderId="12" xfId="0" applyBorder="1" applyAlignment="1">
      <alignment horizontal="center"/>
    </xf>
    <xf numFmtId="0" fontId="0" fillId="0" borderId="8" xfId="0" applyBorder="1"/>
    <xf numFmtId="2" fontId="0" fillId="0" borderId="16" xfId="0" applyNumberFormat="1" applyBorder="1" applyAlignment="1">
      <alignment horizontal="center"/>
    </xf>
    <xf numFmtId="0" fontId="2" fillId="6" borderId="8" xfId="0" applyFont="1" applyFill="1" applyBorder="1"/>
    <xf numFmtId="9" fontId="0" fillId="6" borderId="16" xfId="0" applyNumberFormat="1" applyFill="1" applyBorder="1" applyAlignment="1">
      <alignment horizontal="center"/>
    </xf>
    <xf numFmtId="165" fontId="0" fillId="0" borderId="16" xfId="0" applyNumberFormat="1" applyBorder="1" applyAlignment="1">
      <alignment horizontal="center"/>
    </xf>
    <xf numFmtId="0" fontId="0" fillId="2" borderId="8" xfId="0" applyFill="1" applyBorder="1" applyAlignment="1">
      <alignment horizontal="left"/>
    </xf>
    <xf numFmtId="9" fontId="0" fillId="0" borderId="16" xfId="0" applyNumberFormat="1" applyBorder="1" applyAlignment="1">
      <alignment horizontal="center"/>
    </xf>
    <xf numFmtId="0" fontId="0" fillId="2" borderId="5" xfId="0" applyFill="1" applyBorder="1" applyAlignment="1">
      <alignment horizontal="left"/>
    </xf>
    <xf numFmtId="9" fontId="0" fillId="0" borderId="6" xfId="0" applyNumberFormat="1" applyBorder="1" applyAlignment="1">
      <alignment horizontal="center"/>
    </xf>
    <xf numFmtId="0" fontId="0" fillId="2" borderId="22" xfId="0" applyFill="1" applyBorder="1" applyAlignment="1">
      <alignment horizontal="left"/>
    </xf>
    <xf numFmtId="9" fontId="0" fillId="0" borderId="23" xfId="0" applyNumberFormat="1" applyBorder="1" applyAlignment="1">
      <alignment horizontal="center"/>
    </xf>
    <xf numFmtId="0" fontId="0" fillId="0" borderId="2" xfId="0" applyBorder="1"/>
    <xf numFmtId="0" fontId="0" fillId="0" borderId="32" xfId="0" applyBorder="1">
      <extLst>
        <ext xmlns:xfpb="http://schemas.microsoft.com/office/spreadsheetml/2022/featurepropertybag" uri="{C7286773-470A-42A8-94C5-96B5CB345126}">
          <xfpb:xfComplement i="0"/>
        </ext>
      </extLst>
    </xf>
    <xf numFmtId="0" fontId="0" fillId="0" borderId="3" xfId="0" applyBorder="1">
      <extLst>
        <ext xmlns:xfpb="http://schemas.microsoft.com/office/spreadsheetml/2022/featurepropertybag" uri="{C7286773-470A-42A8-94C5-96B5CB345126}">
          <xfpb:xfComplement i="0"/>
        </ext>
      </extLst>
    </xf>
    <xf numFmtId="0" fontId="0" fillId="0" borderId="0" xfId="0" applyAlignment="1">
      <alignment wrapText="1"/>
    </xf>
    <xf numFmtId="0" fontId="2" fillId="12" borderId="0" xfId="0" applyFont="1" applyFill="1" applyAlignment="1">
      <alignment vertical="center"/>
    </xf>
    <xf numFmtId="0" fontId="0" fillId="0" borderId="38" xfId="0" applyBorder="1"/>
    <xf numFmtId="0" fontId="1" fillId="17" borderId="42" xfId="0" applyFont="1" applyFill="1" applyBorder="1" applyAlignment="1">
      <alignment horizontal="center" vertical="center"/>
    </xf>
    <xf numFmtId="0" fontId="1" fillId="20" borderId="2" xfId="0" applyFont="1" applyFill="1" applyBorder="1" applyAlignment="1">
      <alignment horizontal="center" vertical="center" wrapText="1"/>
    </xf>
    <xf numFmtId="0" fontId="9" fillId="22" borderId="16" xfId="0" applyFont="1" applyFill="1" applyBorder="1" applyAlignment="1">
      <alignment horizontal="center" vertical="center" wrapText="1"/>
    </xf>
    <xf numFmtId="0" fontId="2" fillId="23" borderId="16" xfId="0" applyFont="1" applyFill="1" applyBorder="1" applyAlignment="1">
      <alignment horizontal="center" vertical="center"/>
    </xf>
    <xf numFmtId="0" fontId="10"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16" xfId="0" applyBorder="1" applyAlignment="1">
      <alignment horizontal="center" vertical="center" wrapText="1"/>
    </xf>
    <xf numFmtId="0" fontId="10" fillId="0" borderId="8" xfId="0" applyFont="1"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11" fillId="0" borderId="0" xfId="0" applyFont="1"/>
    <xf numFmtId="0" fontId="0" fillId="0" borderId="45" xfId="0" applyBorder="1">
      <extLst>
        <ext xmlns:xfpb="http://schemas.microsoft.com/office/spreadsheetml/2022/featurepropertybag" uri="{C7286773-470A-42A8-94C5-96B5CB345126}">
          <xfpb:xfComplement i="0"/>
        </ext>
      </extLst>
    </xf>
    <xf numFmtId="0" fontId="0" fillId="0" borderId="33" xfId="0" applyBorder="1">
      <extLst>
        <ext xmlns:xfpb="http://schemas.microsoft.com/office/spreadsheetml/2022/featurepropertybag" uri="{C7286773-470A-42A8-94C5-96B5CB345126}">
          <xfpb:xfComplement i="0"/>
        </ext>
      </extLst>
    </xf>
    <xf numFmtId="0" fontId="0" fillId="0" borderId="46" xfId="0" applyBorder="1">
      <extLst>
        <ext xmlns:xfpb="http://schemas.microsoft.com/office/spreadsheetml/2022/featurepropertybag" uri="{C7286773-470A-42A8-94C5-96B5CB345126}">
          <xfpb:xfComplement i="0"/>
        </ext>
      </extLst>
    </xf>
    <xf numFmtId="0" fontId="0" fillId="0" borderId="47" xfId="0" applyBorder="1">
      <extLst>
        <ext xmlns:xfpb="http://schemas.microsoft.com/office/spreadsheetml/2022/featurepropertybag" uri="{C7286773-470A-42A8-94C5-96B5CB345126}">
          <xfpb:xfComplement i="0"/>
        </ext>
      </extLst>
    </xf>
    <xf numFmtId="0" fontId="0" fillId="0" borderId="31" xfId="0" applyBorder="1">
      <extLst>
        <ext xmlns:xfpb="http://schemas.microsoft.com/office/spreadsheetml/2022/featurepropertybag" uri="{C7286773-470A-42A8-94C5-96B5CB345126}">
          <xfpb:xfComplement i="0"/>
        </ext>
      </extLst>
    </xf>
    <xf numFmtId="0" fontId="0" fillId="0" borderId="34" xfId="0" applyBorder="1">
      <extLst>
        <ext xmlns:xfpb="http://schemas.microsoft.com/office/spreadsheetml/2022/featurepropertybag" uri="{C7286773-470A-42A8-94C5-96B5CB345126}">
          <xfpb:xfComplement i="0"/>
        </ext>
      </extLst>
    </xf>
    <xf numFmtId="0" fontId="0" fillId="0" borderId="0" xfId="0" applyAlignment="1">
      <alignment horizontal="left" wrapText="1"/>
    </xf>
    <xf numFmtId="0" fontId="0" fillId="0" borderId="0" xfId="0" applyAlignment="1">
      <alignment horizontal="center"/>
    </xf>
    <xf numFmtId="0" fontId="0" fillId="11" borderId="0" xfId="0" applyFill="1"/>
    <xf numFmtId="0" fontId="0" fillId="0" borderId="57" xfId="0" applyBorder="1"/>
    <xf numFmtId="0" fontId="0" fillId="0" borderId="58" xfId="0" applyBorder="1"/>
    <xf numFmtId="0" fontId="0" fillId="0" borderId="59" xfId="0" applyBorder="1"/>
    <xf numFmtId="0" fontId="0" fillId="2" borderId="60" xfId="0" applyFill="1" applyBorder="1"/>
    <xf numFmtId="0" fontId="0" fillId="2" borderId="58" xfId="0" applyFill="1" applyBorder="1"/>
    <xf numFmtId="0" fontId="0" fillId="10" borderId="59" xfId="0" applyFill="1" applyBorder="1" applyAlignment="1">
      <alignment horizontal="left" vertical="center"/>
    </xf>
    <xf numFmtId="0" fontId="8" fillId="2" borderId="58" xfId="0" applyFont="1" applyFill="1" applyBorder="1"/>
    <xf numFmtId="0" fontId="0" fillId="2" borderId="61" xfId="0" applyFill="1" applyBorder="1"/>
    <xf numFmtId="0" fontId="0" fillId="0" borderId="62" xfId="0" applyBorder="1" applyAlignment="1">
      <alignment horizontal="left" vertical="center"/>
    </xf>
    <xf numFmtId="0" fontId="0" fillId="0" borderId="58" xfId="0" applyBorder="1" applyAlignment="1">
      <alignment horizontal="left" vertical="center"/>
    </xf>
    <xf numFmtId="0" fontId="0" fillId="0" borderId="58" xfId="0" applyBorder="1" applyAlignment="1">
      <alignment horizontal="left"/>
    </xf>
    <xf numFmtId="0" fontId="0" fillId="0" borderId="58" xfId="0" applyBorder="1" applyAlignment="1">
      <alignment horizontal="left" vertical="center" wrapText="1"/>
    </xf>
    <xf numFmtId="0" fontId="0" fillId="2" borderId="58" xfId="0" applyFill="1" applyBorder="1" applyAlignment="1">
      <alignment horizontal="left"/>
    </xf>
    <xf numFmtId="0" fontId="0" fillId="0" borderId="61" xfId="0" applyBorder="1" applyAlignment="1">
      <alignment horizontal="left"/>
    </xf>
    <xf numFmtId="0" fontId="0" fillId="0" borderId="17" xfId="0" applyBorder="1"/>
    <xf numFmtId="0" fontId="0" fillId="0" borderId="62" xfId="0" applyBorder="1"/>
    <xf numFmtId="0" fontId="0" fillId="0" borderId="61" xfId="0" applyBorder="1"/>
    <xf numFmtId="0" fontId="0" fillId="2" borderId="62" xfId="0" applyFill="1" applyBorder="1"/>
    <xf numFmtId="0" fontId="0" fillId="2" borderId="59" xfId="0" applyFill="1" applyBorder="1"/>
    <xf numFmtId="0" fontId="0" fillId="0" borderId="60" xfId="0" applyBorder="1"/>
    <xf numFmtId="0" fontId="0" fillId="0" borderId="52" xfId="0" applyBorder="1">
      <extLst>
        <ext xmlns:xfpb="http://schemas.microsoft.com/office/spreadsheetml/2022/featurepropertybag" uri="{C7286773-470A-42A8-94C5-96B5CB345126}">
          <xfpb:xfComplement i="0"/>
        </ext>
      </extLst>
    </xf>
    <xf numFmtId="0" fontId="0" fillId="0" borderId="35" xfId="0" applyBorder="1">
      <extLst>
        <ext xmlns:xfpb="http://schemas.microsoft.com/office/spreadsheetml/2022/featurepropertybag" uri="{C7286773-470A-42A8-94C5-96B5CB345126}">
          <xfpb:xfComplement i="0"/>
        </ext>
      </extLst>
    </xf>
    <xf numFmtId="164" fontId="3" fillId="16" borderId="65" xfId="0" applyNumberFormat="1" applyFont="1" applyFill="1" applyBorder="1" applyAlignment="1">
      <alignment horizontal="center" vertical="center"/>
    </xf>
    <xf numFmtId="0" fontId="1" fillId="20" borderId="2" xfId="0" applyFont="1" applyFill="1" applyBorder="1" applyAlignment="1">
      <alignment horizontal="center" vertical="center" wrapText="1"/>
    </xf>
    <xf numFmtId="0" fontId="1" fillId="20" borderId="4" xfId="0" applyFont="1" applyFill="1" applyBorder="1" applyAlignment="1">
      <alignment horizontal="center" vertical="center" wrapText="1"/>
    </xf>
    <xf numFmtId="0" fontId="2" fillId="21" borderId="35" xfId="0" applyFont="1" applyFill="1" applyBorder="1" applyAlignment="1">
      <alignment horizontal="center" vertical="center" wrapText="1"/>
    </xf>
    <xf numFmtId="0" fontId="2" fillId="21" borderId="5" xfId="0" applyFont="1" applyFill="1" applyBorder="1" applyAlignment="1">
      <alignment horizontal="center" vertical="center" wrapText="1"/>
    </xf>
    <xf numFmtId="0" fontId="2" fillId="21" borderId="0" xfId="0" applyFont="1" applyFill="1" applyAlignment="1">
      <alignment horizontal="center" vertical="center" wrapText="1"/>
    </xf>
    <xf numFmtId="0" fontId="2" fillId="21" borderId="43" xfId="0" applyFont="1" applyFill="1" applyBorder="1" applyAlignment="1">
      <alignment horizontal="center" vertical="center" wrapText="1"/>
    </xf>
    <xf numFmtId="0" fontId="1" fillId="17" borderId="39" xfId="0" applyFont="1" applyFill="1" applyBorder="1" applyAlignment="1">
      <alignment horizontal="center" vertical="center"/>
    </xf>
    <xf numFmtId="0" fontId="1" fillId="17" borderId="40" xfId="0" applyFont="1" applyFill="1" applyBorder="1" applyAlignment="1">
      <alignment horizontal="center" vertical="center"/>
    </xf>
    <xf numFmtId="0" fontId="1" fillId="17" borderId="41" xfId="0" applyFont="1" applyFill="1" applyBorder="1" applyAlignment="1">
      <alignment horizontal="center" vertical="center"/>
    </xf>
    <xf numFmtId="0" fontId="2" fillId="12" borderId="2" xfId="0" applyFont="1" applyFill="1" applyBorder="1" applyAlignment="1">
      <alignment horizontal="center" vertical="center"/>
    </xf>
    <xf numFmtId="0" fontId="1" fillId="18" borderId="2" xfId="0" applyFont="1" applyFill="1" applyBorder="1" applyAlignment="1">
      <alignment horizontal="center" vertical="center"/>
    </xf>
    <xf numFmtId="0" fontId="1" fillId="0" borderId="2" xfId="0" applyFont="1" applyBorder="1" applyAlignment="1">
      <alignment horizontal="center" vertical="center"/>
    </xf>
    <xf numFmtId="0" fontId="1" fillId="19" borderId="2" xfId="0" applyFont="1" applyFill="1" applyBorder="1" applyAlignment="1">
      <alignment horizontal="center" vertical="center"/>
    </xf>
    <xf numFmtId="0" fontId="2" fillId="13" borderId="14" xfId="0" applyFont="1" applyFill="1" applyBorder="1" applyAlignment="1">
      <alignment horizontal="center" vertical="center"/>
    </xf>
    <xf numFmtId="0" fontId="7" fillId="0" borderId="25" xfId="0" applyFont="1" applyBorder="1" applyAlignment="1">
      <alignment horizontal="center" vertical="center" wrapText="1"/>
    </xf>
    <xf numFmtId="0" fontId="7" fillId="0" borderId="25" xfId="0" applyFont="1" applyBorder="1" applyAlignment="1">
      <alignment horizontal="center" vertical="center"/>
    </xf>
    <xf numFmtId="0" fontId="7" fillId="0" borderId="36" xfId="0" applyFont="1" applyBorder="1" applyAlignment="1">
      <alignment horizontal="center" vertical="center"/>
    </xf>
    <xf numFmtId="0" fontId="2" fillId="16" borderId="37" xfId="0" applyFont="1" applyFill="1" applyBorder="1" applyAlignment="1">
      <alignment horizontal="center" vertical="center"/>
    </xf>
    <xf numFmtId="0" fontId="2" fillId="16" borderId="66" xfId="0" applyFont="1" applyFill="1" applyBorder="1" applyAlignment="1">
      <alignment horizontal="center" vertical="center"/>
    </xf>
    <xf numFmtId="0" fontId="2" fillId="16" borderId="67" xfId="0" applyFont="1" applyFill="1" applyBorder="1" applyAlignment="1">
      <alignment horizontal="center" vertical="center"/>
    </xf>
    <xf numFmtId="0" fontId="4" fillId="0" borderId="10"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21" xfId="0" applyFont="1" applyBorder="1" applyAlignment="1">
      <alignment horizontal="center" vertical="center" wrapText="1"/>
    </xf>
    <xf numFmtId="0" fontId="2" fillId="12" borderId="25" xfId="0" applyFont="1" applyFill="1" applyBorder="1" applyAlignment="1">
      <alignment horizontal="center" vertical="center"/>
    </xf>
    <xf numFmtId="0" fontId="2" fillId="12" borderId="14" xfId="0" applyFont="1" applyFill="1" applyBorder="1" applyAlignment="1">
      <alignment horizontal="center" vertical="center"/>
    </xf>
    <xf numFmtId="0" fontId="0" fillId="0" borderId="0" xfId="0" applyAlignment="1">
      <alignment horizontal="center"/>
    </xf>
    <xf numFmtId="0" fontId="0" fillId="0" borderId="15" xfId="0" applyBorder="1" applyAlignment="1">
      <alignment horizontal="center"/>
    </xf>
    <xf numFmtId="0" fontId="8" fillId="0" borderId="25"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36" xfId="0" applyFont="1" applyBorder="1" applyAlignment="1">
      <alignment horizontal="center" vertical="center" wrapText="1"/>
    </xf>
    <xf numFmtId="0" fontId="2" fillId="24" borderId="9" xfId="0" applyFont="1" applyFill="1" applyBorder="1" applyAlignment="1">
      <alignment horizontal="center" vertical="center"/>
    </xf>
    <xf numFmtId="0" fontId="2" fillId="24" borderId="14" xfId="0" applyFont="1" applyFill="1" applyBorder="1" applyAlignment="1">
      <alignment horizontal="center" vertical="center"/>
    </xf>
    <xf numFmtId="0" fontId="2" fillId="24" borderId="20" xfId="0" applyFont="1" applyFill="1" applyBorder="1" applyAlignment="1">
      <alignment horizontal="center" vertical="center"/>
    </xf>
    <xf numFmtId="0" fontId="7" fillId="0" borderId="10" xfId="0" applyFont="1" applyBorder="1" applyAlignment="1">
      <alignment horizontal="center" vertical="center"/>
    </xf>
    <xf numFmtId="0" fontId="7" fillId="0" borderId="15" xfId="0" applyFont="1" applyBorder="1" applyAlignment="1">
      <alignment horizontal="center" vertical="center"/>
    </xf>
    <xf numFmtId="0" fontId="7" fillId="0" borderId="21" xfId="0" applyFont="1" applyBorder="1" applyAlignment="1">
      <alignment horizontal="center" vertical="center"/>
    </xf>
    <xf numFmtId="0" fontId="2" fillId="10" borderId="14" xfId="0" applyFont="1" applyFill="1" applyBorder="1" applyAlignment="1">
      <alignment horizontal="center" vertical="center"/>
    </xf>
    <xf numFmtId="0" fontId="2" fillId="10" borderId="20" xfId="0" applyFont="1" applyFill="1" applyBorder="1" applyAlignment="1">
      <alignment horizontal="center" vertical="center"/>
    </xf>
    <xf numFmtId="0" fontId="7" fillId="0" borderId="26" xfId="0" applyFont="1" applyBorder="1" applyAlignment="1">
      <alignment horizontal="center" vertical="center"/>
    </xf>
    <xf numFmtId="0" fontId="2" fillId="14" borderId="9" xfId="0" applyFont="1" applyFill="1" applyBorder="1" applyAlignment="1">
      <alignment horizontal="center" vertical="center"/>
    </xf>
    <xf numFmtId="0" fontId="2" fillId="14" borderId="14" xfId="0" applyFont="1" applyFill="1" applyBorder="1" applyAlignment="1">
      <alignment horizontal="center" vertical="center"/>
    </xf>
    <xf numFmtId="0" fontId="2" fillId="15" borderId="9" xfId="0" applyFont="1" applyFill="1" applyBorder="1" applyAlignment="1">
      <alignment horizontal="center" vertical="center"/>
    </xf>
    <xf numFmtId="0" fontId="2" fillId="15" borderId="14" xfId="0" applyFont="1" applyFill="1" applyBorder="1" applyAlignment="1">
      <alignment horizontal="center" vertical="center"/>
    </xf>
    <xf numFmtId="0" fontId="2" fillId="7" borderId="14" xfId="0" applyFont="1" applyFill="1" applyBorder="1" applyAlignment="1">
      <alignment horizontal="center" vertical="center"/>
    </xf>
    <xf numFmtId="0" fontId="2" fillId="7" borderId="0" xfId="0" applyFont="1" applyFill="1" applyAlignment="1">
      <alignment horizontal="center" vertical="center"/>
    </xf>
    <xf numFmtId="0" fontId="2" fillId="7" borderId="20" xfId="0" applyFont="1" applyFill="1" applyBorder="1" applyAlignment="1">
      <alignment horizontal="center" vertical="center"/>
    </xf>
    <xf numFmtId="0" fontId="2" fillId="7" borderId="51" xfId="0" applyFont="1" applyFill="1" applyBorder="1" applyAlignment="1">
      <alignment horizontal="center" vertical="center"/>
    </xf>
    <xf numFmtId="0" fontId="7" fillId="0" borderId="62" xfId="0" applyFont="1" applyBorder="1" applyAlignment="1">
      <alignment horizontal="center" vertical="center" wrapText="1"/>
    </xf>
    <xf numFmtId="0" fontId="7" fillId="0" borderId="58" xfId="0" applyFont="1" applyBorder="1" applyAlignment="1">
      <alignment horizontal="center" vertical="center"/>
    </xf>
    <xf numFmtId="0" fontId="7" fillId="0" borderId="63" xfId="0" applyFont="1" applyBorder="1" applyAlignment="1">
      <alignment horizontal="center" vertical="center"/>
    </xf>
    <xf numFmtId="0" fontId="2" fillId="9" borderId="14" xfId="0" applyFont="1" applyFill="1" applyBorder="1" applyAlignment="1">
      <alignment horizontal="center" vertical="center"/>
    </xf>
    <xf numFmtId="0" fontId="2" fillId="9" borderId="20" xfId="0" applyFont="1" applyFill="1" applyBorder="1" applyAlignment="1">
      <alignment horizontal="center" vertical="center"/>
    </xf>
    <xf numFmtId="0" fontId="2" fillId="25" borderId="48" xfId="0" applyFont="1" applyFill="1" applyBorder="1" applyAlignment="1">
      <alignment horizontal="center" vertical="center"/>
    </xf>
    <xf numFmtId="0" fontId="2" fillId="25" borderId="49" xfId="0" applyFont="1" applyFill="1" applyBorder="1" applyAlignment="1">
      <alignment horizontal="center" vertical="center"/>
    </xf>
    <xf numFmtId="0" fontId="2" fillId="25" borderId="50" xfId="0" applyFont="1" applyFill="1" applyBorder="1" applyAlignment="1">
      <alignment horizontal="center" vertical="center"/>
    </xf>
    <xf numFmtId="0" fontId="0" fillId="0" borderId="10" xfId="0" applyBorder="1" applyAlignment="1">
      <alignment horizontal="center"/>
    </xf>
    <xf numFmtId="0" fontId="0" fillId="0" borderId="21" xfId="0" applyBorder="1" applyAlignment="1">
      <alignment horizontal="center"/>
    </xf>
    <xf numFmtId="0" fontId="2" fillId="26" borderId="9" xfId="0" applyFont="1" applyFill="1" applyBorder="1" applyAlignment="1">
      <alignment horizontal="center" vertical="center" wrapText="1"/>
    </xf>
    <xf numFmtId="0" fontId="2" fillId="26" borderId="14" xfId="0" applyFont="1" applyFill="1" applyBorder="1" applyAlignment="1">
      <alignment horizontal="center" vertical="center"/>
    </xf>
    <xf numFmtId="0" fontId="2" fillId="26" borderId="20" xfId="0" applyFont="1" applyFill="1" applyBorder="1" applyAlignment="1">
      <alignment horizontal="center" vertical="center"/>
    </xf>
    <xf numFmtId="0" fontId="7" fillId="0" borderId="13"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64" xfId="0" applyFont="1" applyBorder="1" applyAlignment="1">
      <alignment horizontal="center" vertical="center" wrapText="1"/>
    </xf>
    <xf numFmtId="0" fontId="2" fillId="7" borderId="27" xfId="0" applyFont="1" applyFill="1" applyBorder="1" applyAlignment="1">
      <alignment horizontal="center" vertical="center"/>
    </xf>
    <xf numFmtId="0" fontId="2" fillId="7" borderId="15" xfId="0" applyFont="1" applyFill="1" applyBorder="1" applyAlignment="1">
      <alignment horizontal="center" vertical="center"/>
    </xf>
    <xf numFmtId="0" fontId="2" fillId="8" borderId="28"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29" xfId="0" applyFont="1" applyFill="1" applyBorder="1" applyAlignment="1">
      <alignment horizontal="center" vertical="center"/>
    </xf>
    <xf numFmtId="0" fontId="2" fillId="8" borderId="16" xfId="0" applyFont="1" applyFill="1" applyBorder="1" applyAlignment="1">
      <alignment horizontal="center" vertical="center"/>
    </xf>
    <xf numFmtId="0" fontId="2" fillId="8" borderId="30" xfId="0" applyFont="1" applyFill="1" applyBorder="1" applyAlignment="1">
      <alignment horizontal="center" vertical="center"/>
    </xf>
    <xf numFmtId="0" fontId="2" fillId="8" borderId="6" xfId="0" applyFont="1" applyFill="1" applyBorder="1" applyAlignment="1">
      <alignment horizontal="center" vertical="center"/>
    </xf>
    <xf numFmtId="0" fontId="6" fillId="5" borderId="2" xfId="0" applyFont="1" applyFill="1" applyBorder="1" applyAlignment="1">
      <alignment horizontal="center"/>
    </xf>
    <xf numFmtId="0" fontId="6" fillId="5" borderId="3" xfId="0" applyFont="1" applyFill="1" applyBorder="1" applyAlignment="1">
      <alignment horizontal="center"/>
    </xf>
    <xf numFmtId="0" fontId="6" fillId="5" borderId="54" xfId="0" applyFont="1" applyFill="1" applyBorder="1" applyAlignment="1">
      <alignment horizontal="center"/>
    </xf>
    <xf numFmtId="0" fontId="6" fillId="5" borderId="55" xfId="0" applyFont="1" applyFill="1" applyBorder="1" applyAlignment="1">
      <alignment horizontal="center"/>
    </xf>
    <xf numFmtId="0" fontId="6" fillId="5" borderId="4" xfId="0" applyFont="1" applyFill="1" applyBorder="1" applyAlignment="1">
      <alignment horizontal="center"/>
    </xf>
    <xf numFmtId="0" fontId="6" fillId="5" borderId="5" xfId="0" applyFont="1" applyFill="1" applyBorder="1" applyAlignment="1">
      <alignment horizontal="center"/>
    </xf>
    <xf numFmtId="0" fontId="6" fillId="5" borderId="44" xfId="0" applyFont="1" applyFill="1" applyBorder="1" applyAlignment="1">
      <alignment horizontal="center"/>
    </xf>
    <xf numFmtId="0" fontId="6" fillId="5" borderId="32" xfId="0" applyFont="1" applyFill="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2" fillId="0" borderId="8" xfId="0" applyFont="1" applyBorder="1" applyAlignment="1">
      <alignment horizont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7" fillId="0" borderId="9"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20"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53"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24" xfId="0" applyFont="1" applyBorder="1" applyAlignment="1">
      <alignment horizontal="center" vertical="center" wrapText="1"/>
    </xf>
    <xf numFmtId="0" fontId="6" fillId="5" borderId="7" xfId="0" applyFont="1" applyFill="1" applyBorder="1" applyAlignment="1">
      <alignment horizontal="center"/>
    </xf>
    <xf numFmtId="0" fontId="2" fillId="0" borderId="7" xfId="0" applyFont="1" applyBorder="1" applyAlignment="1">
      <alignment horizontal="center" wrapText="1"/>
    </xf>
    <xf numFmtId="0" fontId="6" fillId="5" borderId="19" xfId="0" applyFont="1" applyFill="1" applyBorder="1" applyAlignment="1">
      <alignment horizontal="center"/>
    </xf>
    <xf numFmtId="0" fontId="6" fillId="5" borderId="18" xfId="0" applyFont="1" applyFill="1" applyBorder="1" applyAlignment="1">
      <alignment horizontal="center"/>
    </xf>
    <xf numFmtId="0" fontId="2" fillId="0" borderId="19" xfId="0" applyFont="1" applyBorder="1" applyAlignment="1">
      <alignment horizontal="center"/>
    </xf>
    <xf numFmtId="0" fontId="2" fillId="0" borderId="18" xfId="0" applyFont="1" applyBorder="1" applyAlignment="1">
      <alignment horizontal="center"/>
    </xf>
    <xf numFmtId="0" fontId="2" fillId="0" borderId="68" xfId="0" applyFont="1" applyBorder="1" applyAlignment="1">
      <alignment horizontal="center"/>
    </xf>
    <xf numFmtId="0" fontId="0" fillId="0" borderId="3" xfId="0" applyBorder="1" applyAlignment="1"/>
    <xf numFmtId="0" fontId="0" fillId="0" borderId="55" xfId="0" applyBorder="1" applyAlignment="1"/>
    <xf numFmtId="0" fontId="0" fillId="0" borderId="56" xfId="0" applyBorder="1" applyAlignment="1"/>
    <xf numFmtId="0" fontId="0" fillId="0" borderId="5" xfId="0" applyBorder="1" applyAlignment="1"/>
  </cellXfs>
  <cellStyles count="3">
    <cellStyle name="Normal" xfId="0" builtinId="0"/>
    <cellStyle name="Style 1" xfId="1" xr:uid="{3A13E91F-AE74-45A9-BE9F-FCD2D5E0CDB0}"/>
    <cellStyle name="Style T" xfId="2" xr:uid="{DCC5C5D3-273D-45F1-9859-755EE96EA78E}"/>
  </cellStyles>
  <dxfs count="0"/>
  <tableStyles count="0" defaultTableStyle="TableStyleMedium2" defaultPivotStyle="PivotStyleMedium9"/>
  <colors>
    <mruColors>
      <color rgb="FFF5A4A5"/>
      <color rgb="FF0070C0"/>
      <color rgb="FF00B0F0"/>
      <color rgb="FFF2F2F2"/>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styles" Target="styles.xml"/><Relationship Id="rId7" Type="http://schemas.microsoft.com/office/2022/11/relationships/FeaturePropertyBag" Target="featurePropertyBag/feature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3.xml"/><Relationship Id="rId5" Type="http://schemas.openxmlformats.org/officeDocument/2006/relationships/sheetMetadata" Target="metadata.xml"/><Relationship Id="rId10" Type="http://schemas.openxmlformats.org/officeDocument/2006/relationships/customXml" Target="../customXml/item2.xml"/><Relationship Id="rId4" Type="http://schemas.openxmlformats.org/officeDocument/2006/relationships/sharedStrings" Target="sharedStrings.xml"/><Relationship Id="rId9"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Jose. Adorno | Quartile" id="{226F103B-E93E-4263-A2C1-BFA254A7752D}" userId="S::jose.adorno@quartile.com::03111db8-9f81-43a8-aade-16db42b5e22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5" dT="2026-03-06T18:59:13.73" personId="{226F103B-E93E-4263-A2C1-BFA254A7752D}" id="{E28C4985-3C03-4C03-B3D1-9B46D96B5903}">
    <text>AI Max</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16098-B6D8-426A-9A4B-688A0CC47210}">
  <sheetPr>
    <tabColor rgb="FF00B0F0"/>
  </sheetPr>
  <dimension ref="A1:O123"/>
  <sheetViews>
    <sheetView tabSelected="1" topLeftCell="A52" zoomScale="90" zoomScaleNormal="90" workbookViewId="0">
      <selection activeCell="D56" sqref="D56"/>
    </sheetView>
  </sheetViews>
  <sheetFormatPr defaultRowHeight="15"/>
  <cols>
    <col min="1" max="1" width="31.42578125" customWidth="1"/>
    <col min="2" max="2" width="42.28515625" customWidth="1"/>
    <col min="3" max="3" width="62.5703125" bestFit="1" customWidth="1"/>
    <col min="4" max="4" width="41.5703125" bestFit="1" customWidth="1"/>
    <col min="5" max="5" width="27.140625" customWidth="1"/>
    <col min="6" max="6" width="33.5703125" customWidth="1"/>
    <col min="8" max="8" width="63.140625" customWidth="1"/>
    <col min="9" max="9" width="14.28515625" bestFit="1" customWidth="1"/>
    <col min="10" max="10" width="18.85546875" bestFit="1" customWidth="1"/>
    <col min="11" max="11" width="15.85546875" bestFit="1" customWidth="1"/>
  </cols>
  <sheetData>
    <row r="1" spans="1:11">
      <c r="A1" s="139" t="s">
        <v>0</v>
      </c>
      <c r="B1" s="140"/>
      <c r="C1" s="170"/>
      <c r="D1" s="170"/>
      <c r="E1" s="170"/>
      <c r="F1" s="170"/>
      <c r="G1" s="141" t="s">
        <v>1</v>
      </c>
      <c r="H1" s="142"/>
      <c r="I1" s="171"/>
      <c r="J1" s="171"/>
      <c r="K1" s="172"/>
    </row>
    <row r="2" spans="1:11" ht="15.75" customHeight="1">
      <c r="A2" s="143" t="s">
        <v>2</v>
      </c>
      <c r="B2" s="144"/>
      <c r="C2" s="173"/>
      <c r="D2" s="2"/>
      <c r="E2" s="1" t="s">
        <v>3</v>
      </c>
      <c r="F2" s="3" t="s">
        <v>4</v>
      </c>
      <c r="G2" s="145" t="s">
        <v>5</v>
      </c>
      <c r="H2" s="146"/>
      <c r="I2" s="147" t="str">
        <f>IF(ROUND(E3,0)&lt;=2,"Good",IF(ROUND(E3,0)=3,"Needs Improvement","Low"))</f>
        <v>Good</v>
      </c>
      <c r="J2" s="148"/>
      <c r="K2" s="149"/>
    </row>
    <row r="3" spans="1:11">
      <c r="A3" s="150" t="s">
        <v>6</v>
      </c>
      <c r="B3" s="151"/>
      <c r="C3" s="4" t="s">
        <v>7</v>
      </c>
      <c r="D3" s="5">
        <v>7.14</v>
      </c>
      <c r="E3" s="156" cm="1">
        <f t="array" ref="E3">_xlfn.LET(
_xlpm.roasGoal,_xlfn.IFS(D5&gt;=25%,1,D5&gt;=10%,2,D5&gt;=0%,3,D5&gt;=-5%,4,TRUE,5),
_xlpm.spendGoal,_xlfn.IFS(ABS(D8)&lt;=2%,1,ABS(D8)&lt;=5%,2,ABS(D8)&lt;=10%,3,ABS(D8)&lt;=15%,4,TRUE,5),
_xlpm.revenueTrend,_xlfn.IFS(D9&gt;=15%,1,D9&gt;=5%,2,D9&gt;=0%,3,D9&gt;=-10%,4,TRUE,5),
_xlpm.roasTrend,_xlfn.IFS(D10&gt;=10%,1,D10&gt;=3%,2,D10&gt;=0%,3,D10&gt;=-10%,4,TRUE,5),
_xlpm.conversionTrend,_xlfn.IFS(D11&gt;=10%,1,D11&gt;=3%,2,D11&gt;=0%,3,D11&gt;=-10%,4,TRUE,5),
_xlpm.cvrTrend,_xlfn.IFS(D12&gt;=5%,1,D12&gt;=1%,2,D12&gt;=-5%,3,D12&gt;=-15%,4,TRUE,5),
_xlpm.spendTrend,_xlfn.IFS(ABS(D13)&lt;=5%,1,ABS(D13)&lt;=10%,2,ABS(D13)&lt;=15%,3,ABS(D13)&lt;=25%,4,TRUE,5),
_xlpm.score,
_xlpm.roasGoal*0.25+
_xlpm.spendGoal*0.15+
_xlpm.revenueTrend*0.15+
_xlpm.roasTrend*0.15+
_xlpm.conversionTrend*0.1+
_xlpm.cvrTrend*0.1+
_xlpm.spendTrend*0.1,
ROUND(MAX(1,MIN(5,_xlpm.score)),0)
)</f>
        <v>2</v>
      </c>
      <c r="F3" s="159" t="s">
        <v>8</v>
      </c>
      <c r="G3" s="163" t="s">
        <v>9</v>
      </c>
      <c r="H3" s="140"/>
      <c r="I3" s="147" t="str">
        <f>IF(ROUND(((E23*0.6)+(E28*0.4)),0)&lt;=2,"Good",IF(ROUND(((E23*0.6)+(E28*0.4)),0)=3,"Needs Improvement","Unsatisfactory"))</f>
        <v>Unsatisfactory</v>
      </c>
      <c r="J3" s="148"/>
      <c r="K3" s="149"/>
    </row>
    <row r="4" spans="1:11" ht="15" customHeight="1">
      <c r="A4" s="152"/>
      <c r="B4" s="153"/>
      <c r="C4" s="6" t="s">
        <v>10</v>
      </c>
      <c r="D4" s="7">
        <v>10</v>
      </c>
      <c r="E4" s="157"/>
      <c r="F4" s="160"/>
      <c r="G4" s="163" t="s">
        <v>11</v>
      </c>
      <c r="H4" s="140"/>
      <c r="I4" s="147" t="str">
        <f>IF(
  AND(COUNTIF(D56:D61,TRUE)&gt;=4, COUNTIF(D62:D64,TRUE)&gt;=2),
  IF(ROUND((AVERAGE(E56,E62)*0.25)+(E65*0.75),0)&lt;=2, "Good", "Needs Improvement"),
  IF(ROUND((AVERAGE(E56,E62)*0.25)+(E65*0.75),0)&lt;=2, "Good",
    IF(ROUND((AVERAGE(E56,E62)*0.25)+(E65*0.75),0)=3, "Needs Improvement",
      "Unsatisfactory"))
)</f>
        <v>Unsatisfactory</v>
      </c>
      <c r="J4" s="148"/>
      <c r="K4" s="149"/>
    </row>
    <row r="5" spans="1:11" ht="15" customHeight="1">
      <c r="A5" s="152"/>
      <c r="B5" s="153"/>
      <c r="C5" s="8" t="s">
        <v>12</v>
      </c>
      <c r="D5" s="9">
        <f>(D4-D3)/D3</f>
        <v>0.40056022408963593</v>
      </c>
      <c r="E5" s="157"/>
      <c r="F5" s="160"/>
      <c r="G5" s="163" t="s">
        <v>13</v>
      </c>
      <c r="H5" s="140"/>
      <c r="I5" s="164" t="str">
        <f>IF(ROUND(E36,0)&lt;=2,"Compliant",IF(ROUND(E36,0)=3,"Needs Improvement","Non-Compliant"))</f>
        <v>Non-Compliant</v>
      </c>
      <c r="J5" s="148"/>
      <c r="K5" s="149"/>
    </row>
    <row r="6" spans="1:11" ht="15.75" customHeight="1">
      <c r="A6" s="152"/>
      <c r="B6" s="153"/>
      <c r="C6" s="6" t="s">
        <v>14</v>
      </c>
      <c r="D6" s="10">
        <v>8000</v>
      </c>
      <c r="E6" s="157"/>
      <c r="F6" s="160"/>
      <c r="G6" s="165" t="s">
        <v>15</v>
      </c>
      <c r="H6" s="166"/>
      <c r="I6" s="167" t="str">
        <f>IF(ROUND(E15,0)&lt;=2,"Compliant",IF(ROUND(E15,0)=3,"Needs Improvement","Non-Compliant"))</f>
        <v>Non-Compliant</v>
      </c>
      <c r="J6" s="168"/>
      <c r="K6" s="169"/>
    </row>
    <row r="7" spans="1:11" ht="15" customHeight="1">
      <c r="A7" s="152"/>
      <c r="B7" s="153"/>
      <c r="C7" s="6" t="s">
        <v>16</v>
      </c>
      <c r="D7" s="10">
        <v>8000</v>
      </c>
      <c r="E7" s="157"/>
      <c r="F7" s="161"/>
    </row>
    <row r="8" spans="1:11" ht="15" customHeight="1">
      <c r="A8" s="152"/>
      <c r="B8" s="153"/>
      <c r="C8" s="8" t="s">
        <v>12</v>
      </c>
      <c r="D8" s="9">
        <f>(D7-D6)/D6</f>
        <v>0</v>
      </c>
      <c r="E8" s="157"/>
      <c r="F8" s="161"/>
    </row>
    <row r="9" spans="1:11" ht="15" customHeight="1">
      <c r="A9" s="152"/>
      <c r="B9" s="153"/>
      <c r="C9" s="11" t="s">
        <v>17</v>
      </c>
      <c r="D9" s="12">
        <v>-0.2</v>
      </c>
      <c r="E9" s="157"/>
      <c r="F9" s="161"/>
    </row>
    <row r="10" spans="1:11" ht="15" customHeight="1">
      <c r="A10" s="152"/>
      <c r="B10" s="153"/>
      <c r="C10" s="13" t="s">
        <v>18</v>
      </c>
      <c r="D10" s="14">
        <v>-0.1</v>
      </c>
      <c r="E10" s="157"/>
      <c r="F10" s="161"/>
    </row>
    <row r="11" spans="1:11" ht="15" customHeight="1">
      <c r="A11" s="152"/>
      <c r="B11" s="153"/>
      <c r="C11" s="11" t="s">
        <v>19</v>
      </c>
      <c r="D11" s="12">
        <v>0.15</v>
      </c>
      <c r="E11" s="157"/>
      <c r="F11" s="161"/>
    </row>
    <row r="12" spans="1:11" ht="15" customHeight="1">
      <c r="A12" s="152"/>
      <c r="B12" s="153"/>
      <c r="C12" s="11" t="s">
        <v>20</v>
      </c>
      <c r="D12" s="12">
        <v>0.03</v>
      </c>
      <c r="E12" s="157"/>
      <c r="F12" s="161"/>
    </row>
    <row r="13" spans="1:11" ht="21.75" customHeight="1" thickBot="1">
      <c r="A13" s="154"/>
      <c r="B13" s="155"/>
      <c r="C13" s="15" t="s">
        <v>21</v>
      </c>
      <c r="D13" s="16">
        <v>0.13</v>
      </c>
      <c r="E13" s="158"/>
      <c r="F13" s="162"/>
    </row>
    <row r="14" spans="1:11" ht="26.25" customHeight="1" thickBot="1">
      <c r="A14" s="110" t="s">
        <v>22</v>
      </c>
      <c r="B14" s="111"/>
      <c r="C14" s="131"/>
      <c r="D14" s="111"/>
      <c r="E14" s="111"/>
      <c r="F14" s="132"/>
    </row>
    <row r="15" spans="1:11" ht="15" customHeight="1">
      <c r="A15" s="133" t="s">
        <v>23</v>
      </c>
      <c r="B15" s="134"/>
      <c r="C15" s="44" t="s">
        <v>24</v>
      </c>
      <c r="D15" s="64" t="b">
        <v>0</v>
      </c>
      <c r="E15" s="127">
        <f>IF(COUNTIF(D15:D22,TRUE)=8,1,
IF(COUNTIF(D15:D22,TRUE)=7,1.25,
IF(COUNTIF(D15:D22,TRUE)=6,1.5,
IF(COUNTIF(D15:D22,TRUE)=5,1.75,
IF(COUNTIF(D15:D22,TRUE)=4,2,
IF(COUNTIF(D15:D22,TRUE)=3,2.5,
IF(COUNTIF(D15:D22,TRUE)=2,3,
IF(COUNTIF(D15:D22,TRUE)=1,4,5))))))))</f>
        <v>5</v>
      </c>
      <c r="F15" s="122"/>
    </row>
    <row r="16" spans="1:11" ht="15" customHeight="1">
      <c r="A16" s="135"/>
      <c r="B16" s="136"/>
      <c r="C16" s="45" t="s">
        <v>25</v>
      </c>
      <c r="D16" s="19" t="b">
        <v>0</v>
      </c>
      <c r="E16" s="128"/>
      <c r="F16" s="93"/>
    </row>
    <row r="17" spans="1:15" ht="15" customHeight="1">
      <c r="A17" s="135"/>
      <c r="B17" s="136"/>
      <c r="C17" s="45" t="s">
        <v>26</v>
      </c>
      <c r="D17" s="19" t="b">
        <v>0</v>
      </c>
      <c r="E17" s="128"/>
      <c r="F17" s="93"/>
    </row>
    <row r="18" spans="1:15" ht="15" customHeight="1">
      <c r="A18" s="135"/>
      <c r="B18" s="136"/>
      <c r="C18" s="45" t="s">
        <v>27</v>
      </c>
      <c r="D18" s="19" t="b">
        <v>0</v>
      </c>
      <c r="E18" s="128"/>
      <c r="F18" s="93"/>
    </row>
    <row r="19" spans="1:15" ht="15" customHeight="1">
      <c r="A19" s="135"/>
      <c r="B19" s="136"/>
      <c r="C19" s="45" t="s">
        <v>28</v>
      </c>
      <c r="D19" s="19" t="b">
        <v>0</v>
      </c>
      <c r="E19" s="128"/>
      <c r="F19" s="93"/>
    </row>
    <row r="20" spans="1:15" ht="15" customHeight="1">
      <c r="A20" s="135"/>
      <c r="B20" s="136"/>
      <c r="C20" s="45" t="s">
        <v>29</v>
      </c>
      <c r="D20" s="19" t="b">
        <v>0</v>
      </c>
      <c r="E20" s="128"/>
      <c r="F20" s="93"/>
    </row>
    <row r="21" spans="1:15" ht="15.75" customHeight="1">
      <c r="A21" s="135"/>
      <c r="B21" s="136"/>
      <c r="C21" s="45" t="s">
        <v>30</v>
      </c>
      <c r="D21" s="19" t="b">
        <v>0</v>
      </c>
      <c r="E21" s="128"/>
      <c r="F21" s="93"/>
    </row>
    <row r="22" spans="1:15" ht="15.75" customHeight="1" thickBot="1">
      <c r="A22" s="137"/>
      <c r="B22" s="138"/>
      <c r="C22" s="46" t="s">
        <v>31</v>
      </c>
      <c r="D22" s="65" t="b">
        <v>0</v>
      </c>
      <c r="E22" s="128"/>
      <c r="F22" s="123"/>
      <c r="I22" s="92"/>
      <c r="J22" s="92"/>
      <c r="K22" s="92"/>
      <c r="L22" s="92"/>
      <c r="M22" s="92"/>
    </row>
    <row r="23" spans="1:15" ht="15.75" customHeight="1">
      <c r="A23" s="117" t="s">
        <v>32</v>
      </c>
      <c r="B23" s="119" t="s">
        <v>33</v>
      </c>
      <c r="C23" s="47" t="s">
        <v>34</v>
      </c>
      <c r="D23" s="64" t="b">
        <v>0</v>
      </c>
      <c r="E23" s="127">
        <f>IF(COUNTIF(D23:D27,TRUE)=5,1,
IF(COUNTIF(D23:D27,TRUE)=4,1.25,
IF(COUNTIF(D23:D27,TRUE)=3,2,
IF(COUNTIF(D23:D27,TRUE)=2,4,
IF(COUNTIF(D23:D27,TRUE)=1,4.5,5)))))</f>
        <v>5</v>
      </c>
      <c r="F23" s="122"/>
      <c r="I23" s="42"/>
      <c r="J23" s="42"/>
      <c r="K23" s="42"/>
      <c r="L23" s="42"/>
      <c r="M23" s="42"/>
    </row>
    <row r="24" spans="1:15" ht="15.75" customHeight="1">
      <c r="A24" s="117"/>
      <c r="B24" s="120"/>
      <c r="C24" s="48" t="s">
        <v>35</v>
      </c>
      <c r="D24" s="19" t="b">
        <v>0</v>
      </c>
      <c r="E24" s="128"/>
      <c r="F24" s="93"/>
      <c r="I24" s="42"/>
      <c r="J24" s="42"/>
      <c r="K24" s="42"/>
      <c r="L24" s="42"/>
      <c r="M24" s="42"/>
    </row>
    <row r="25" spans="1:15" ht="15.75" customHeight="1">
      <c r="A25" s="117"/>
      <c r="B25" s="121"/>
      <c r="C25" s="48" t="s">
        <v>36</v>
      </c>
      <c r="D25" s="65" t="b">
        <v>0</v>
      </c>
      <c r="E25" s="128"/>
      <c r="F25" s="93"/>
      <c r="I25" s="42"/>
      <c r="J25" s="42"/>
      <c r="K25" s="42"/>
      <c r="L25" s="42"/>
      <c r="M25" s="42"/>
    </row>
    <row r="26" spans="1:15" ht="15.75" customHeight="1">
      <c r="A26" s="117"/>
      <c r="B26" s="121"/>
      <c r="C26" s="48" t="s">
        <v>37</v>
      </c>
      <c r="D26" s="65" t="b">
        <v>0</v>
      </c>
      <c r="E26" s="128"/>
      <c r="F26" s="93"/>
      <c r="I26" s="42"/>
      <c r="J26" s="42"/>
      <c r="K26" s="42"/>
      <c r="L26" s="42"/>
      <c r="M26" s="42"/>
    </row>
    <row r="27" spans="1:15" ht="15.75" customHeight="1" thickBot="1">
      <c r="A27" s="117"/>
      <c r="B27" s="121"/>
      <c r="C27" s="49" t="s">
        <v>38</v>
      </c>
      <c r="D27" s="65" t="b">
        <v>0</v>
      </c>
      <c r="E27" s="129"/>
      <c r="F27" s="93"/>
      <c r="I27" s="42"/>
      <c r="J27" s="42"/>
      <c r="K27" s="42"/>
      <c r="L27" s="42"/>
      <c r="M27" s="42"/>
    </row>
    <row r="28" spans="1:15" ht="15" customHeight="1">
      <c r="A28" s="117"/>
      <c r="B28" s="124" t="s">
        <v>39</v>
      </c>
      <c r="C28" s="47" t="s">
        <v>40</v>
      </c>
      <c r="D28" s="64" t="b">
        <v>0</v>
      </c>
      <c r="E28" s="128">
        <f>IF(COUNTIF(D28:D35,TRUE)=8,1,
IF(COUNTIF(D28:D35,TRUE)=7,1.25,
IF(COUNTIF(D28:D35,TRUE)=6,1.5,
IF(COUNTIF(D28:D35,TRUE)=5,1.75,
IF(COUNTIF(D28:D35,TRUE)=4,2.5,
IF(COUNTIF(D28:D35,TRUE)=3,3,
IF(COUNTIF(D28:D35,TRUE)=2,4,
IF(COUNTIF(D28:D35,TRUE)=1,4.5,5))))))))</f>
        <v>5</v>
      </c>
      <c r="F28" s="93"/>
      <c r="O28" s="43"/>
    </row>
    <row r="29" spans="1:15" ht="15" customHeight="1">
      <c r="A29" s="117"/>
      <c r="B29" s="125"/>
      <c r="C29" s="48" t="s">
        <v>41</v>
      </c>
      <c r="D29" s="19" t="b">
        <v>0</v>
      </c>
      <c r="E29" s="128"/>
      <c r="F29" s="93"/>
      <c r="O29" s="43"/>
    </row>
    <row r="30" spans="1:15" ht="15" customHeight="1">
      <c r="A30" s="117"/>
      <c r="B30" s="125"/>
      <c r="C30" s="50" t="s">
        <v>42</v>
      </c>
      <c r="D30" s="19" t="b">
        <v>0</v>
      </c>
      <c r="E30" s="128"/>
      <c r="F30" s="93"/>
    </row>
    <row r="31" spans="1:15" ht="15" customHeight="1">
      <c r="A31" s="117"/>
      <c r="B31" s="125"/>
      <c r="C31" s="48" t="s">
        <v>43</v>
      </c>
      <c r="D31" s="19" t="b">
        <v>0</v>
      </c>
      <c r="E31" s="128"/>
      <c r="F31" s="93"/>
    </row>
    <row r="32" spans="1:15" ht="15" customHeight="1">
      <c r="A32" s="117"/>
      <c r="B32" s="125"/>
      <c r="C32" s="48" t="s">
        <v>44</v>
      </c>
      <c r="D32" s="19" t="b">
        <v>0</v>
      </c>
      <c r="E32" s="128"/>
      <c r="F32" s="93"/>
    </row>
    <row r="33" spans="1:8" ht="15" customHeight="1">
      <c r="A33" s="117"/>
      <c r="B33" s="125"/>
      <c r="C33" s="48" t="s">
        <v>45</v>
      </c>
      <c r="D33" s="19" t="b">
        <v>0</v>
      </c>
      <c r="E33" s="128"/>
      <c r="F33" s="93"/>
    </row>
    <row r="34" spans="1:8" ht="15" customHeight="1">
      <c r="A34" s="117"/>
      <c r="B34" s="125"/>
      <c r="C34" s="48" t="s">
        <v>46</v>
      </c>
      <c r="D34" s="19" t="b">
        <v>0</v>
      </c>
      <c r="E34" s="128"/>
      <c r="F34" s="93"/>
    </row>
    <row r="35" spans="1:8" ht="15" customHeight="1" thickBot="1">
      <c r="A35" s="118"/>
      <c r="B35" s="126"/>
      <c r="C35" s="51" t="s">
        <v>47</v>
      </c>
      <c r="D35" s="38" t="b">
        <v>0</v>
      </c>
      <c r="E35" s="130"/>
      <c r="F35" s="123"/>
    </row>
    <row r="36" spans="1:8" ht="15" customHeight="1">
      <c r="A36" s="110" t="s">
        <v>48</v>
      </c>
      <c r="B36" s="111"/>
      <c r="C36" s="52" t="s">
        <v>49</v>
      </c>
      <c r="D36" s="18" t="b">
        <v>0</v>
      </c>
      <c r="E36" s="114">
        <f>IF(COUNTIF(D36:D54,TRUE)&gt;=19,1,
IF(COUNTIF(D36:D54,TRUE)&gt;=17,1.25,
IF(COUNTIF(D36:D54,TRUE)&gt;=15,1.5,
IF(COUNTIF(D36:D54,TRUE)&gt;=13,1.75,
IF(COUNTIF(D36:D54,TRUE)&gt;=11,2,
IF(COUNTIF(D36:D54,TRUE)&gt;=9,2.5,
IF(COUNTIF(D36:D54,TRUE)&gt;=7,3,
IF(COUNTIF(D36:D54,TRUE)&gt;=5,3.5,
IF(COUNTIF(D36:D54,TRUE)&gt;=3,4,
IF(COUNTIF(D36:D54,TRUE)&gt;=1,4.5,5))))))))))</f>
        <v>5</v>
      </c>
      <c r="F36" s="87"/>
      <c r="H36" s="41"/>
    </row>
    <row r="37" spans="1:8" ht="15" customHeight="1">
      <c r="A37" s="110"/>
      <c r="B37" s="111"/>
      <c r="C37" s="53" t="s">
        <v>50</v>
      </c>
      <c r="D37" s="19" t="b">
        <v>0</v>
      </c>
      <c r="E37" s="115"/>
      <c r="F37" s="88"/>
      <c r="H37" s="41"/>
    </row>
    <row r="38" spans="1:8" ht="15" customHeight="1">
      <c r="A38" s="110"/>
      <c r="B38" s="111"/>
      <c r="C38" s="53" t="s">
        <v>51</v>
      </c>
      <c r="D38" s="19" t="b">
        <v>0</v>
      </c>
      <c r="E38" s="115"/>
      <c r="F38" s="88"/>
    </row>
    <row r="39" spans="1:8" ht="15" customHeight="1">
      <c r="A39" s="110"/>
      <c r="B39" s="111"/>
      <c r="C39" s="53" t="s">
        <v>52</v>
      </c>
      <c r="D39" s="19" t="b">
        <v>0</v>
      </c>
      <c r="E39" s="115"/>
      <c r="F39" s="88"/>
      <c r="H39" s="41"/>
    </row>
    <row r="40" spans="1:8" ht="15" customHeight="1">
      <c r="A40" s="110"/>
      <c r="B40" s="111"/>
      <c r="C40" s="54" t="s">
        <v>53</v>
      </c>
      <c r="D40" s="19" t="b">
        <v>0</v>
      </c>
      <c r="E40" s="115"/>
      <c r="F40" s="88"/>
      <c r="H40" s="41"/>
    </row>
    <row r="41" spans="1:8" ht="15" customHeight="1">
      <c r="A41" s="110"/>
      <c r="B41" s="111"/>
      <c r="C41" s="53" t="s">
        <v>54</v>
      </c>
      <c r="D41" s="19" t="b">
        <v>0</v>
      </c>
      <c r="E41" s="115"/>
      <c r="F41" s="88"/>
      <c r="H41" s="41"/>
    </row>
    <row r="42" spans="1:8" ht="15.75" customHeight="1">
      <c r="A42" s="110"/>
      <c r="B42" s="111"/>
      <c r="C42" s="53" t="s">
        <v>55</v>
      </c>
      <c r="D42" s="19" t="b">
        <v>0</v>
      </c>
      <c r="E42" s="115"/>
      <c r="F42" s="88"/>
    </row>
    <row r="43" spans="1:8" ht="15.75" customHeight="1">
      <c r="A43" s="110"/>
      <c r="B43" s="111"/>
      <c r="C43" s="49" t="s">
        <v>56</v>
      </c>
      <c r="D43" s="19" t="b">
        <v>0</v>
      </c>
      <c r="E43" s="115"/>
      <c r="F43" s="88"/>
    </row>
    <row r="44" spans="1:8" ht="15.75" customHeight="1">
      <c r="A44" s="110"/>
      <c r="B44" s="111"/>
      <c r="C44" s="49" t="s">
        <v>57</v>
      </c>
      <c r="D44" s="19" t="b">
        <v>0</v>
      </c>
      <c r="E44" s="115"/>
      <c r="F44" s="88"/>
    </row>
    <row r="45" spans="1:8">
      <c r="A45" s="110"/>
      <c r="B45" s="111"/>
      <c r="C45" s="53" t="s">
        <v>58</v>
      </c>
      <c r="D45" s="19" t="b">
        <v>0</v>
      </c>
      <c r="E45" s="115"/>
      <c r="F45" s="88"/>
      <c r="H45" s="20"/>
    </row>
    <row r="46" spans="1:8" ht="15.75" customHeight="1">
      <c r="A46" s="110"/>
      <c r="B46" s="111"/>
      <c r="C46" s="54" t="s">
        <v>59</v>
      </c>
      <c r="D46" s="19" t="b">
        <v>0</v>
      </c>
      <c r="E46" s="115"/>
      <c r="F46" s="88"/>
      <c r="H46" s="20"/>
    </row>
    <row r="47" spans="1:8" ht="15.75" customHeight="1">
      <c r="A47" s="110"/>
      <c r="B47" s="111"/>
      <c r="C47" s="53" t="s">
        <v>60</v>
      </c>
      <c r="D47" s="19" t="b">
        <v>0</v>
      </c>
      <c r="E47" s="115"/>
      <c r="F47" s="88"/>
    </row>
    <row r="48" spans="1:8" ht="15.75" customHeight="1">
      <c r="A48" s="110"/>
      <c r="B48" s="111"/>
      <c r="C48" s="55" t="s">
        <v>61</v>
      </c>
      <c r="D48" s="19" t="b">
        <v>0</v>
      </c>
      <c r="E48" s="115"/>
      <c r="F48" s="88"/>
    </row>
    <row r="49" spans="1:6" ht="15.75" customHeight="1">
      <c r="A49" s="110"/>
      <c r="B49" s="111"/>
      <c r="C49" s="54" t="s">
        <v>62</v>
      </c>
      <c r="D49" s="19" t="b">
        <v>0</v>
      </c>
      <c r="E49" s="115"/>
      <c r="F49" s="88"/>
    </row>
    <row r="50" spans="1:6" ht="15.75" customHeight="1">
      <c r="A50" s="110"/>
      <c r="B50" s="111"/>
      <c r="C50" s="56" t="s">
        <v>63</v>
      </c>
      <c r="D50" s="19" t="b">
        <v>0</v>
      </c>
      <c r="E50" s="115"/>
      <c r="F50" s="88"/>
    </row>
    <row r="51" spans="1:6" ht="15.75" customHeight="1">
      <c r="A51" s="110"/>
      <c r="B51" s="111"/>
      <c r="C51" s="53" t="s">
        <v>64</v>
      </c>
      <c r="D51" s="19" t="b">
        <v>0</v>
      </c>
      <c r="E51" s="115"/>
      <c r="F51" s="88"/>
    </row>
    <row r="52" spans="1:6" ht="15.75" customHeight="1">
      <c r="A52" s="110"/>
      <c r="B52" s="111"/>
      <c r="C52" s="53" t="s">
        <v>65</v>
      </c>
      <c r="D52" s="19" t="b">
        <v>0</v>
      </c>
      <c r="E52" s="115"/>
      <c r="F52" s="88"/>
    </row>
    <row r="53" spans="1:6" ht="15.75" customHeight="1">
      <c r="A53" s="110"/>
      <c r="B53" s="111"/>
      <c r="C53" s="54" t="s">
        <v>66</v>
      </c>
      <c r="D53" s="19" t="b">
        <v>0</v>
      </c>
      <c r="E53" s="115"/>
      <c r="F53" s="88"/>
    </row>
    <row r="54" spans="1:6" ht="15.75" customHeight="1" thickBot="1">
      <c r="A54" s="112"/>
      <c r="B54" s="113"/>
      <c r="C54" s="57" t="s">
        <v>67</v>
      </c>
      <c r="D54" s="38" t="b">
        <v>0</v>
      </c>
      <c r="E54" s="116"/>
      <c r="F54" s="89"/>
    </row>
    <row r="55" spans="1:6" ht="15" customHeight="1" thickBot="1">
      <c r="A55" s="90" t="s">
        <v>68</v>
      </c>
      <c r="B55" s="21"/>
      <c r="C55" s="58" t="s">
        <v>69</v>
      </c>
      <c r="D55" s="92"/>
      <c r="E55" s="93"/>
      <c r="F55" s="94"/>
    </row>
    <row r="56" spans="1:6" ht="15" customHeight="1">
      <c r="A56" s="91"/>
      <c r="B56" s="97" t="s">
        <v>70</v>
      </c>
      <c r="C56" s="47" t="s">
        <v>71</v>
      </c>
      <c r="D56" s="35" t="b">
        <v>0</v>
      </c>
      <c r="E56" s="100">
        <f>IF(COUNTIF(D56:D61,TRUE)=6,1,
IF(COUNTIF(D56:D61,TRUE)=5,1.25,
IF(COUNTIF(D56:D61,TRUE)=4,2,
IF(COUNTIF(D56:D61,TRUE)=3,3,
IF(COUNTIF(D56:D61,TRUE)=2,4,
IF(COUNTIF(D56:D61,TRUE)=1,4.5,5))))))</f>
        <v>5</v>
      </c>
      <c r="F56" s="95"/>
    </row>
    <row r="57" spans="1:6" ht="15" customHeight="1">
      <c r="A57" s="91"/>
      <c r="B57" s="98"/>
      <c r="C57" s="48" t="s">
        <v>72</v>
      </c>
      <c r="D57" s="36" t="b">
        <v>0</v>
      </c>
      <c r="E57" s="101"/>
      <c r="F57" s="95"/>
    </row>
    <row r="58" spans="1:6" ht="15" customHeight="1">
      <c r="A58" s="91"/>
      <c r="B58" s="98"/>
      <c r="C58" s="48" t="s">
        <v>73</v>
      </c>
      <c r="D58" s="36" t="b">
        <v>0</v>
      </c>
      <c r="E58" s="101"/>
      <c r="F58" s="95"/>
    </row>
    <row r="59" spans="1:6" ht="15" customHeight="1">
      <c r="A59" s="91"/>
      <c r="B59" s="98"/>
      <c r="C59" s="48" t="s">
        <v>74</v>
      </c>
      <c r="D59" s="36" t="b">
        <v>0</v>
      </c>
      <c r="E59" s="101"/>
      <c r="F59" s="95"/>
    </row>
    <row r="60" spans="1:6" ht="15" customHeight="1">
      <c r="A60" s="91"/>
      <c r="B60" s="98"/>
      <c r="C60" s="48" t="s">
        <v>75</v>
      </c>
      <c r="D60" s="40" t="b">
        <v>0</v>
      </c>
      <c r="E60" s="101"/>
      <c r="F60" s="95"/>
    </row>
    <row r="61" spans="1:6" ht="15" customHeight="1" thickBot="1">
      <c r="A61" s="91"/>
      <c r="B61" s="99"/>
      <c r="C61" s="51" t="s">
        <v>76</v>
      </c>
      <c r="D61" s="37" t="b">
        <v>0</v>
      </c>
      <c r="E61" s="102"/>
      <c r="F61" s="95"/>
    </row>
    <row r="62" spans="1:6" ht="15" customHeight="1">
      <c r="A62" s="91"/>
      <c r="B62" s="103" t="s">
        <v>77</v>
      </c>
      <c r="C62" s="59" t="s">
        <v>78</v>
      </c>
      <c r="D62" s="18" t="b">
        <v>0</v>
      </c>
      <c r="E62" s="82">
        <f>IF(COUNTIF(D62:D64,TRUE)=3,1,
IF(COUNTIF(D62:D64,TRUE)&gt;=2,2,
IF(COUNTIF(D62:D64,TRUE)=1,4.5,5)))</f>
        <v>5</v>
      </c>
      <c r="F62" s="95"/>
    </row>
    <row r="63" spans="1:6" ht="15" customHeight="1">
      <c r="A63" s="91"/>
      <c r="B63" s="103"/>
      <c r="C63" s="45" t="s">
        <v>79</v>
      </c>
      <c r="D63" s="19" t="b">
        <v>0</v>
      </c>
      <c r="E63" s="82"/>
      <c r="F63" s="95"/>
    </row>
    <row r="64" spans="1:6" ht="15" customHeight="1" thickBot="1">
      <c r="A64" s="91"/>
      <c r="B64" s="104"/>
      <c r="C64" s="60" t="s">
        <v>80</v>
      </c>
      <c r="D64" s="38" t="b">
        <v>0</v>
      </c>
      <c r="E64" s="105"/>
      <c r="F64" s="95"/>
    </row>
    <row r="65" spans="1:10" ht="15" customHeight="1">
      <c r="A65" s="91"/>
      <c r="B65" s="80" t="s">
        <v>81</v>
      </c>
      <c r="C65" s="61" t="s">
        <v>82</v>
      </c>
      <c r="D65" s="39" t="b">
        <v>0</v>
      </c>
      <c r="E65" s="81">
        <f>IF(COUNTIF(D65:D85,TRUE)&gt;=21,1,
IF(COUNTIF(D65:D85,TRUE)&gt;=19,1.25,
IF(COUNTIF(D65:D85,TRUE)&gt;=17,1.5,
IF(COUNTIF(D65:D85,TRUE)&gt;=15,1.75,
IF(COUNTIF(D65:D85,TRUE)&gt;=12,2,
IF(COUNTIF(D65:D85,TRUE)&gt;=9,2.5,
IF(COUNTIF(D65:D85,TRUE)&gt;=7,3,
IF(COUNTIF(D65:D85,TRUE)&gt;=5,3.5,
IF(COUNTIF(D65:D85,TRUE)&gt;=3,4,
IF(COUNTIF(D65:D85,TRUE)&gt;=1,4.5,5))))))))))</f>
        <v>5</v>
      </c>
      <c r="F65" s="94"/>
      <c r="J65" s="34"/>
    </row>
    <row r="66" spans="1:10" ht="15" customHeight="1">
      <c r="A66" s="91"/>
      <c r="B66" s="80"/>
      <c r="C66" s="48" t="s">
        <v>83</v>
      </c>
      <c r="D66" s="36" t="b">
        <v>0</v>
      </c>
      <c r="E66" s="82"/>
      <c r="F66" s="94"/>
    </row>
    <row r="67" spans="1:10" ht="15" customHeight="1">
      <c r="A67" s="91"/>
      <c r="B67" s="80"/>
      <c r="C67" s="48" t="s">
        <v>84</v>
      </c>
      <c r="D67" s="36" t="b">
        <v>0</v>
      </c>
      <c r="E67" s="82"/>
      <c r="F67" s="94"/>
    </row>
    <row r="68" spans="1:10" ht="15" customHeight="1">
      <c r="A68" s="91"/>
      <c r="B68" s="80"/>
      <c r="C68" s="48" t="s">
        <v>85</v>
      </c>
      <c r="D68" s="36" t="b">
        <v>0</v>
      </c>
      <c r="E68" s="82"/>
      <c r="F68" s="94"/>
    </row>
    <row r="69" spans="1:10" ht="15" customHeight="1">
      <c r="A69" s="91"/>
      <c r="B69" s="80"/>
      <c r="C69" s="48" t="s">
        <v>86</v>
      </c>
      <c r="D69" s="36" t="b">
        <v>0</v>
      </c>
      <c r="E69" s="82"/>
      <c r="F69" s="94"/>
    </row>
    <row r="70" spans="1:10" ht="15" customHeight="1">
      <c r="A70" s="91"/>
      <c r="B70" s="80"/>
      <c r="C70" s="48" t="s">
        <v>87</v>
      </c>
      <c r="D70" s="36" t="b">
        <v>0</v>
      </c>
      <c r="E70" s="82"/>
      <c r="F70" s="94"/>
    </row>
    <row r="71" spans="1:10" ht="15.75" customHeight="1">
      <c r="A71" s="91"/>
      <c r="B71" s="80"/>
      <c r="C71" s="48" t="s">
        <v>88</v>
      </c>
      <c r="D71" s="36" t="b">
        <v>0</v>
      </c>
      <c r="E71" s="82"/>
      <c r="F71" s="94"/>
    </row>
    <row r="72" spans="1:10" ht="15" customHeight="1">
      <c r="A72" s="91"/>
      <c r="B72" s="80"/>
      <c r="C72" s="48" t="s">
        <v>89</v>
      </c>
      <c r="D72" s="36" t="b">
        <v>0</v>
      </c>
      <c r="E72" s="82"/>
      <c r="F72" s="94"/>
    </row>
    <row r="73" spans="1:10" ht="15" customHeight="1">
      <c r="A73" s="91"/>
      <c r="B73" s="80"/>
      <c r="C73" s="48" t="s">
        <v>90</v>
      </c>
      <c r="D73" s="36" t="b">
        <v>0</v>
      </c>
      <c r="E73" s="82"/>
      <c r="F73" s="94"/>
    </row>
    <row r="74" spans="1:10" ht="15" customHeight="1" thickBot="1">
      <c r="A74" s="91"/>
      <c r="B74" s="80"/>
      <c r="C74" s="62" t="s">
        <v>91</v>
      </c>
      <c r="D74" s="40" t="b">
        <v>0</v>
      </c>
      <c r="E74" s="82"/>
      <c r="F74" s="94"/>
    </row>
    <row r="75" spans="1:10" ht="15" customHeight="1">
      <c r="A75" s="91"/>
      <c r="B75" s="106" t="s">
        <v>92</v>
      </c>
      <c r="C75" s="63" t="s">
        <v>93</v>
      </c>
      <c r="D75" s="35" t="b">
        <v>0</v>
      </c>
      <c r="E75" s="82"/>
      <c r="F75" s="94"/>
    </row>
    <row r="76" spans="1:10" ht="15" customHeight="1">
      <c r="A76" s="91"/>
      <c r="B76" s="107"/>
      <c r="C76" s="45" t="s">
        <v>94</v>
      </c>
      <c r="D76" s="36" t="b">
        <v>0</v>
      </c>
      <c r="E76" s="82"/>
      <c r="F76" s="94"/>
    </row>
    <row r="77" spans="1:10" ht="15" customHeight="1">
      <c r="A77" s="91"/>
      <c r="B77" s="107"/>
      <c r="C77" s="45" t="s">
        <v>95</v>
      </c>
      <c r="D77" s="36" t="b">
        <v>0</v>
      </c>
      <c r="E77" s="82"/>
      <c r="F77" s="94"/>
    </row>
    <row r="78" spans="1:10" ht="15" customHeight="1">
      <c r="A78" s="91"/>
      <c r="B78" s="107"/>
      <c r="C78" s="45" t="s">
        <v>96</v>
      </c>
      <c r="D78" s="36" t="b">
        <v>0</v>
      </c>
      <c r="E78" s="82"/>
      <c r="F78" s="94"/>
    </row>
    <row r="79" spans="1:10" ht="15" customHeight="1">
      <c r="A79" s="91"/>
      <c r="B79" s="107"/>
      <c r="C79" s="45" t="s">
        <v>97</v>
      </c>
      <c r="D79" s="36" t="b">
        <v>0</v>
      </c>
      <c r="E79" s="82"/>
      <c r="F79" s="94"/>
    </row>
    <row r="80" spans="1:10" ht="15" customHeight="1">
      <c r="A80" s="91"/>
      <c r="B80" s="107"/>
      <c r="C80" s="45" t="s">
        <v>98</v>
      </c>
      <c r="D80" s="36" t="b">
        <v>0</v>
      </c>
      <c r="E80" s="82"/>
      <c r="F80" s="94"/>
    </row>
    <row r="81" spans="1:11" ht="15.75" customHeight="1" thickBot="1">
      <c r="A81" s="91"/>
      <c r="B81" s="107"/>
      <c r="C81" s="46" t="s">
        <v>99</v>
      </c>
      <c r="D81" s="40" t="b">
        <v>0</v>
      </c>
      <c r="E81" s="82"/>
      <c r="F81" s="94"/>
    </row>
    <row r="82" spans="1:11" ht="15.75" customHeight="1">
      <c r="A82" s="91"/>
      <c r="B82" s="108" t="s">
        <v>100</v>
      </c>
      <c r="C82" s="63" t="s">
        <v>101</v>
      </c>
      <c r="D82" s="35" t="b">
        <v>0</v>
      </c>
      <c r="E82" s="82"/>
      <c r="F82" s="94"/>
    </row>
    <row r="83" spans="1:11" ht="15.75" customHeight="1">
      <c r="A83" s="91"/>
      <c r="B83" s="109"/>
      <c r="C83" s="45" t="s">
        <v>102</v>
      </c>
      <c r="D83" s="36" t="b">
        <v>0</v>
      </c>
      <c r="E83" s="82"/>
      <c r="F83" s="94"/>
    </row>
    <row r="84" spans="1:11" ht="15.75" customHeight="1">
      <c r="A84" s="91"/>
      <c r="B84" s="109"/>
      <c r="C84" s="45" t="s">
        <v>103</v>
      </c>
      <c r="D84" s="36" t="b">
        <v>0</v>
      </c>
      <c r="E84" s="82"/>
      <c r="F84" s="94"/>
    </row>
    <row r="85" spans="1:11" ht="15.75" customHeight="1" thickBot="1">
      <c r="A85" s="91"/>
      <c r="B85" s="109"/>
      <c r="C85" s="46" t="s">
        <v>104</v>
      </c>
      <c r="D85" s="40" t="b">
        <v>0</v>
      </c>
      <c r="E85" s="83"/>
      <c r="F85" s="96"/>
    </row>
    <row r="86" spans="1:11" ht="21.75" thickBot="1">
      <c r="A86" s="84" t="s">
        <v>105</v>
      </c>
      <c r="B86" s="85"/>
      <c r="C86" s="85"/>
      <c r="D86" s="86"/>
      <c r="E86" s="66">
        <f>(E3*0.25)+(E15*0.1)+(((E23*0.6)+(E28*0.4))*0.2)+(E36*0.2)+(((AVERAGE(E56,E62)*0.25)+(E65*0.75))*0.25)</f>
        <v>4.25</v>
      </c>
      <c r="F86" s="22"/>
    </row>
    <row r="91" spans="1:11">
      <c r="A91" s="73" t="s">
        <v>2</v>
      </c>
      <c r="B91" s="74"/>
      <c r="C91" s="74"/>
      <c r="D91" s="75"/>
      <c r="E91" s="23" t="s">
        <v>106</v>
      </c>
    </row>
    <row r="92" spans="1:11">
      <c r="A92" s="76" t="s">
        <v>107</v>
      </c>
      <c r="B92" s="76"/>
      <c r="C92" s="77" t="s">
        <v>108</v>
      </c>
      <c r="D92" s="78"/>
      <c r="E92" s="78"/>
    </row>
    <row r="93" spans="1:11">
      <c r="A93" s="76"/>
      <c r="B93" s="76"/>
      <c r="C93" s="77"/>
      <c r="D93" s="78"/>
      <c r="E93" s="78"/>
    </row>
    <row r="94" spans="1:11">
      <c r="A94" s="76"/>
      <c r="B94" s="76"/>
      <c r="C94" s="79" t="s">
        <v>109</v>
      </c>
      <c r="D94" s="78"/>
      <c r="E94" s="78"/>
    </row>
    <row r="95" spans="1:11">
      <c r="A95" s="76"/>
      <c r="B95" s="76"/>
      <c r="C95" s="79"/>
      <c r="D95" s="78"/>
      <c r="E95" s="78"/>
    </row>
    <row r="96" spans="1:11">
      <c r="A96" s="67" t="s">
        <v>110</v>
      </c>
      <c r="B96" s="67"/>
      <c r="C96" s="67"/>
      <c r="D96" s="68"/>
      <c r="E96" s="24" t="s">
        <v>106</v>
      </c>
      <c r="G96" s="31"/>
      <c r="H96" s="31"/>
      <c r="I96" s="31"/>
      <c r="J96" s="31"/>
      <c r="K96" s="31"/>
    </row>
    <row r="97" spans="1:11" s="31" customFormat="1" ht="46.5" customHeight="1">
      <c r="A97" s="69" t="s">
        <v>111</v>
      </c>
      <c r="B97" s="70"/>
      <c r="C97" s="25" t="str" cm="1">
        <f t="array" ref="C97:C123">_xlfn.LET(
  _xlpm.topics, _xlfn.VSTACK(C15:C22, C36:C54),
  _xlpm.checks, _xlfn.VSTACK(D15:D22, D36:D54),
  _xlfn._xlws.FILTER(_xlpm.topics, _xlpm.checks=FALSE, "")
)</f>
        <v>Billing Status</v>
      </c>
      <c r="D97" s="27" t="str" cm="1">
        <f t="array" ref="D97:D123">_xlfn.LET(
  _xlpm.topics, _xlfn.VSTACK(C15:C22, C36:C54),
  _xlpm.checks, _xlfn.VSTACK(D15:D22, D36:D54),
  _xlpm.missing, _xlfn._xlws.FILTER(_xlpm.topics, _xlpm.checks=FALSE),
  _xlfn.MAP(
    _xlpm.missing,
    _xlfn.LAMBDA(_xlpm.t,
      _xlfn.SWITCH(
        _xlpm.t,
        "Billing Status", "Communicate with client to fix billing situation",
        "Policy Violations", "Resolve policy violations or submit for review",
        "Conversion Actions", "Put up a ticket for the implementation team to investigate conversion tracking",
        "GMC and GA4 linked", "Link Google Ads to GA4 and Merchant Center",
        "Product Status (Disaprovals &lt; 10%)", "Review and reduce disapproved products so disapprovals are below 10%",
        "Data Sources", "Confirm the correct data sources are connected and sending data into Google Ads",
        "Feed Source", "Confirm the feed source is correct and actively updating product data",
        "Shopify Connection", "Confirm Shopify is connected and product data is syncing correctly",
        "Account - Auto-Apply Settings", "Review and configure auto-apply settings so nothing is being automatically applied without approval",
        "Account - Ad extensions", "Add or update account level extensions (sitelinks, callouts, snippets, etc.)",
        "Account - Custom Segment Creation", "Create or refine custom segments to better reach high intent audiences",
        "Account - Final URL", "Ensure final URLs point to correct, live landing pages with relevant content",
        "Account - Location Targeting", "Set location targeting to Presence only where applicable and confirm targeting matches business footprint",
        "Account - Naming Conventions", "Standardize naming conventions so campaign intent and structure are clear",
        "Account - Negative KW lists", "Build and apply negative keyword lists to control query routing and prevent waste",
        "Account - Promotion End dates", "Audit active promotions and ensure end dates are accurate so expired promos do not keep serving",
        "Display/Demand Gen - Optimized Targeting", "Review Optimized Targeting settings and disable where it is expanding beyond intended audiences",
        "Paid Search - Display Expansion Disabled", "Disable search display expansion unless explicitly part of the strategy",
        "PMax - Extension Settings", "Confirm PMax extension settings are configured as intended",
        "PMax - Images", "Improve or add high quality image assets for PMax",
        "PMax - Placements (&gt;80% PLA or Adequate to Performance difference)", "Reduce low quality placements and drive majority of spend to Shopping inventory when appropriate",
        "PMax - Search Themes", "Add or refine search themes to better guide PMax intent",
        "Search - Ad Disapprovals", "Fix disapproved ads or assets and resubmit",
        "Search - Ad Strength", "Improve ad copy and assets to raise ad strength",
        "Shopping - Campaign Priorities", "Review shopping priorities and structure so traffic routes correctly",
        "Shopping/PMax - Audiences", "Apply at least 3 core audiences where relevant (remarketing, high intent, customer lists)",
        "Shopping/PMax - ID Funneling", "Fix product overlap and ensure products funnel correctly between campaign types",
        ""
      )
    )
  )
)</f>
        <v>Communicate with client to fix billing situation</v>
      </c>
      <c r="E97" s="30"/>
    </row>
    <row r="98" spans="1:11" s="31" customFormat="1" ht="46.5" customHeight="1">
      <c r="A98" s="71"/>
      <c r="B98" s="72"/>
      <c r="C98" s="25" t="str">
        <v>Policy Violations</v>
      </c>
      <c r="D98" s="27" t="str">
        <v>Resolve policy violations or submit for review</v>
      </c>
      <c r="E98" s="30"/>
    </row>
    <row r="99" spans="1:11" s="31" customFormat="1" ht="46.5" customHeight="1">
      <c r="A99" s="71"/>
      <c r="B99" s="72"/>
      <c r="C99" s="25" t="str">
        <v>Conversion Actions</v>
      </c>
      <c r="D99" s="28" t="str">
        <v>Put up a ticket for the implementation team to investigate conversion tracking</v>
      </c>
      <c r="E99" s="30"/>
    </row>
    <row r="100" spans="1:11" s="31" customFormat="1" ht="46.5" customHeight="1">
      <c r="A100" s="71"/>
      <c r="B100" s="72"/>
      <c r="C100" s="25" t="str">
        <v>GMC and GA4 linked</v>
      </c>
      <c r="D100" s="27" t="str">
        <v>Link Google Ads to GA4 and Merchant Center</v>
      </c>
      <c r="E100" s="30"/>
    </row>
    <row r="101" spans="1:11" s="31" customFormat="1" ht="46.5" customHeight="1">
      <c r="A101" s="71"/>
      <c r="B101" s="72"/>
      <c r="C101" s="25" t="str">
        <v>Product Status (Disaprovals &lt; 10%)</v>
      </c>
      <c r="D101" s="27" t="str">
        <v>Review and reduce disapproved products so disapprovals are below 10%</v>
      </c>
      <c r="E101" s="30"/>
    </row>
    <row r="102" spans="1:11" s="31" customFormat="1" ht="46.5" customHeight="1">
      <c r="A102" s="71"/>
      <c r="B102" s="72"/>
      <c r="C102" s="26" t="str">
        <v>Data Sources</v>
      </c>
      <c r="D102" s="28" t="str">
        <v>Confirm the correct data sources are connected and sending data into Google Ads</v>
      </c>
      <c r="E102" s="32"/>
    </row>
    <row r="103" spans="1:11" s="31" customFormat="1" ht="46.5" customHeight="1">
      <c r="A103" s="71"/>
      <c r="B103" s="72"/>
      <c r="C103" s="26" t="str">
        <v>Feed Source</v>
      </c>
      <c r="D103" s="28" t="str">
        <v>Confirm the feed source is correct and actively updating product data</v>
      </c>
      <c r="E103" s="32"/>
    </row>
    <row r="104" spans="1:11" s="31" customFormat="1" ht="46.5" customHeight="1">
      <c r="A104" s="71"/>
      <c r="B104" s="72"/>
      <c r="C104" s="26" t="str">
        <v>Shopify Connection</v>
      </c>
      <c r="D104" s="28" t="str">
        <v>Confirm Shopify is connected and product data is syncing correctly</v>
      </c>
      <c r="E104" s="32"/>
    </row>
    <row r="105" spans="1:11" s="31" customFormat="1" ht="46.5" customHeight="1">
      <c r="A105" s="71"/>
      <c r="B105" s="72"/>
      <c r="C105" s="26" t="str">
        <v>Account - Auto-Apply Settings Disabled</v>
      </c>
      <c r="D105" s="28" t="str">
        <v/>
      </c>
      <c r="E105" s="32"/>
    </row>
    <row r="106" spans="1:11" s="31" customFormat="1" ht="46.5" customHeight="1">
      <c r="A106" s="71"/>
      <c r="B106" s="72"/>
      <c r="C106" s="26" t="str">
        <v>Account - Ad extensions</v>
      </c>
      <c r="D106" s="28" t="str">
        <v>Add or update account level extensions (sitelinks, callouts, snippets, etc.)</v>
      </c>
      <c r="E106" s="32"/>
    </row>
    <row r="107" spans="1:11" s="31" customFormat="1" ht="46.5" customHeight="1">
      <c r="A107" s="71"/>
      <c r="B107" s="72"/>
      <c r="C107" s="26" t="str">
        <v>Account - Custom Segment Creation</v>
      </c>
      <c r="D107" s="28" t="str">
        <v>Create or refine custom segments to better reach high intent audiences</v>
      </c>
      <c r="E107" s="32"/>
    </row>
    <row r="108" spans="1:11" s="31" customFormat="1" ht="46.5" customHeight="1">
      <c r="A108" s="71"/>
      <c r="B108" s="72"/>
      <c r="C108" s="26" t="str">
        <v>Account - Final URL</v>
      </c>
      <c r="D108" s="28" t="str">
        <v>Ensure final URLs point to correct, live landing pages with relevant content</v>
      </c>
      <c r="E108" s="32"/>
    </row>
    <row r="109" spans="1:11" s="31" customFormat="1" ht="46.5" customHeight="1">
      <c r="A109" s="71"/>
      <c r="B109" s="72"/>
      <c r="C109" s="26" t="str">
        <v>Account - Location Targeting</v>
      </c>
      <c r="D109" s="28" t="str">
        <v>Set location targeting to Presence only where applicable and confirm targeting matches business footprint</v>
      </c>
      <c r="E109" s="33"/>
      <c r="G109"/>
      <c r="H109"/>
      <c r="I109"/>
      <c r="J109"/>
      <c r="K109"/>
    </row>
    <row r="110" spans="1:11" ht="46.5" customHeight="1">
      <c r="A110" s="71"/>
      <c r="B110" s="72"/>
      <c r="C110" s="26" t="str">
        <v>Account - Naming Conventions</v>
      </c>
      <c r="D110" s="29" t="str">
        <v>Standardize naming conventions so campaign intent and structure are clear</v>
      </c>
      <c r="E110" s="17"/>
    </row>
    <row r="111" spans="1:11" ht="46.5" customHeight="1">
      <c r="A111" s="71"/>
      <c r="B111" s="72"/>
      <c r="C111" s="26" t="str">
        <v>Account - Negative KW lists</v>
      </c>
      <c r="D111" s="29" t="str">
        <v>Build and apply negative keyword lists to control query routing and prevent waste</v>
      </c>
      <c r="E111" s="17"/>
    </row>
    <row r="112" spans="1:11" ht="46.5" customHeight="1">
      <c r="A112" s="71"/>
      <c r="B112" s="72"/>
      <c r="C112" s="26" t="str">
        <v>Account - Promotion End dates</v>
      </c>
      <c r="D112" s="29" t="str">
        <v>Audit active promotions and ensure end dates are accurate so expired promos do not keep serving</v>
      </c>
      <c r="E112" s="17"/>
    </row>
    <row r="113" spans="1:5" ht="46.5" customHeight="1">
      <c r="A113" s="71"/>
      <c r="B113" s="72"/>
      <c r="C113" s="26" t="str">
        <v>Display/Demand Gen - Optimized Targeting</v>
      </c>
      <c r="D113" s="29" t="str">
        <v>Review Optimized Targeting settings and disable where it is expanding beyond intended audiences</v>
      </c>
      <c r="E113" s="17"/>
    </row>
    <row r="114" spans="1:5" ht="46.5" customHeight="1">
      <c r="A114" s="71"/>
      <c r="B114" s="72"/>
      <c r="C114" s="26" t="str">
        <v>Paid Search - Display Expansion Disabled</v>
      </c>
      <c r="D114" s="29" t="str">
        <v>Disable search display expansion unless explicitly part of the strategy</v>
      </c>
      <c r="E114" s="17"/>
    </row>
    <row r="115" spans="1:5" ht="46.5" customHeight="1">
      <c r="A115" s="71"/>
      <c r="B115" s="72"/>
      <c r="C115" s="26" t="str">
        <v>PMax - Extension Settings</v>
      </c>
      <c r="D115" s="29" t="str">
        <v>Confirm PMax extension settings are configured as intended</v>
      </c>
      <c r="E115" s="17"/>
    </row>
    <row r="116" spans="1:5" ht="46.5" customHeight="1">
      <c r="A116" s="71"/>
      <c r="B116" s="72"/>
      <c r="C116" s="26" t="str">
        <v>PMax - Images</v>
      </c>
      <c r="D116" s="29" t="str">
        <v>Improve or add high quality image assets for PMax</v>
      </c>
      <c r="E116" s="17"/>
    </row>
    <row r="117" spans="1:5" ht="46.5" customHeight="1">
      <c r="A117" s="71"/>
      <c r="B117" s="72"/>
      <c r="C117" s="26" t="str">
        <v>PMax - Placements (&gt;80% PLA or Adequate to Performance difference)</v>
      </c>
      <c r="D117" s="29" t="str">
        <v>Reduce low quality placements and drive majority of spend to Shopping inventory when appropriate</v>
      </c>
      <c r="E117" s="17"/>
    </row>
    <row r="118" spans="1:5" ht="46.5" customHeight="1">
      <c r="A118" s="71"/>
      <c r="B118" s="72"/>
      <c r="C118" s="26" t="str">
        <v>PMax - Search Themes</v>
      </c>
      <c r="D118" s="29" t="str">
        <v>Add or refine search themes to better guide PMax intent</v>
      </c>
      <c r="E118" s="17"/>
    </row>
    <row r="119" spans="1:5" ht="46.5" customHeight="1">
      <c r="A119" s="71"/>
      <c r="B119" s="72"/>
      <c r="C119" s="26" t="str">
        <v>Search - Ad Disapprovals</v>
      </c>
      <c r="D119" s="29" t="str">
        <v>Fix disapproved ads or assets and resubmit</v>
      </c>
      <c r="E119" s="17"/>
    </row>
    <row r="120" spans="1:5" ht="46.5" customHeight="1">
      <c r="A120" s="71"/>
      <c r="B120" s="72"/>
      <c r="C120" s="26" t="str">
        <v>Search - Ad Strength</v>
      </c>
      <c r="D120" s="29" t="str">
        <v>Improve ad copy and assets to raise ad strength</v>
      </c>
      <c r="E120" s="17"/>
    </row>
    <row r="121" spans="1:5" ht="46.5" customHeight="1">
      <c r="A121" s="71"/>
      <c r="B121" s="72"/>
      <c r="C121" s="26" t="str">
        <v>Shopping - Campaign Priorities</v>
      </c>
      <c r="D121" s="29" t="str">
        <v>Review shopping priorities and structure so traffic routes correctly</v>
      </c>
      <c r="E121" s="17"/>
    </row>
    <row r="122" spans="1:5" ht="46.5" customHeight="1">
      <c r="A122" s="71"/>
      <c r="B122" s="72"/>
      <c r="C122" s="26" t="str">
        <v>Shopping/PMax - Audiences</v>
      </c>
      <c r="D122" s="29" t="str">
        <v>Apply at least 3 core audiences where relevant (remarketing, high intent, customer lists)</v>
      </c>
      <c r="E122" s="17"/>
    </row>
    <row r="123" spans="1:5" ht="46.5" customHeight="1">
      <c r="A123" s="71"/>
      <c r="B123" s="72"/>
      <c r="C123" s="26" t="str">
        <v>Shopping/PMax - ID Funneling</v>
      </c>
      <c r="D123" s="29" t="str">
        <v>Fix product overlap and ensure products funnel correctly between campaign types</v>
      </c>
      <c r="E123" s="17"/>
    </row>
  </sheetData>
  <mergeCells count="52">
    <mergeCell ref="G1:K1"/>
    <mergeCell ref="A2:C2"/>
    <mergeCell ref="G2:H2"/>
    <mergeCell ref="I2:K2"/>
    <mergeCell ref="A3:B13"/>
    <mergeCell ref="E3:E13"/>
    <mergeCell ref="F3:F13"/>
    <mergeCell ref="G3:H3"/>
    <mergeCell ref="I3:K3"/>
    <mergeCell ref="G4:H4"/>
    <mergeCell ref="I4:K4"/>
    <mergeCell ref="G5:H5"/>
    <mergeCell ref="I5:K5"/>
    <mergeCell ref="G6:H6"/>
    <mergeCell ref="I6:K6"/>
    <mergeCell ref="A14:F14"/>
    <mergeCell ref="A15:B22"/>
    <mergeCell ref="E15:E22"/>
    <mergeCell ref="F15:F22"/>
    <mergeCell ref="A1:F1"/>
    <mergeCell ref="I22:M22"/>
    <mergeCell ref="A23:A35"/>
    <mergeCell ref="B23:B27"/>
    <mergeCell ref="F23:F35"/>
    <mergeCell ref="B28:B35"/>
    <mergeCell ref="E23:E27"/>
    <mergeCell ref="E28:E35"/>
    <mergeCell ref="F36:F54"/>
    <mergeCell ref="A55:A85"/>
    <mergeCell ref="D55:E55"/>
    <mergeCell ref="F55:F85"/>
    <mergeCell ref="B56:B61"/>
    <mergeCell ref="E56:E61"/>
    <mergeCell ref="B62:B64"/>
    <mergeCell ref="E62:E64"/>
    <mergeCell ref="B75:B81"/>
    <mergeCell ref="B82:B85"/>
    <mergeCell ref="A36:B54"/>
    <mergeCell ref="E36:E54"/>
    <mergeCell ref="E92:E93"/>
    <mergeCell ref="C94:C95"/>
    <mergeCell ref="D94:D95"/>
    <mergeCell ref="E94:E95"/>
    <mergeCell ref="B65:B74"/>
    <mergeCell ref="E65:E85"/>
    <mergeCell ref="A86:D86"/>
    <mergeCell ref="A96:D96"/>
    <mergeCell ref="A97:B123"/>
    <mergeCell ref="A91:D91"/>
    <mergeCell ref="A92:B95"/>
    <mergeCell ref="C92:C93"/>
    <mergeCell ref="D92:D93"/>
  </mergeCells>
  <dataValidations disablePrompts="1" count="1">
    <dataValidation allowBlank="1" showInputMessage="1" showErrorMessage="1" sqref="D87" xr:uid="{4CFA717B-85E2-40E4-AE04-50AF02A3AFDB}"/>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BFFD25DE53D24DBCB555C7E1239FC7" ma:contentTypeVersion="8" ma:contentTypeDescription="Create a new document." ma:contentTypeScope="" ma:versionID="406da3f77eb3be3a8e4192e7b93b0553">
  <xsd:schema xmlns:xsd="http://www.w3.org/2001/XMLSchema" xmlns:xs="http://www.w3.org/2001/XMLSchema" xmlns:p="http://schemas.microsoft.com/office/2006/metadata/properties" xmlns:ns2="bbe8bda7-40ca-42e8-8204-022d1214b62e" targetNamespace="http://schemas.microsoft.com/office/2006/metadata/properties" ma:root="true" ma:fieldsID="1fef94b5264acd9197b55f633dad329c" ns2:_="">
    <xsd:import namespace="bbe8bda7-40ca-42e8-8204-022d1214b6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e8bda7-40ca-42e8-8204-022d1214b6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Details" ma:index="11" nillable="true" ma:displayName="Details" ma:format="Dropdown" ma:internalName="Details">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tails xmlns="bbe8bda7-40ca-42e8-8204-022d1214b62e" xsi:nil="true"/>
  </documentManagement>
</p:properties>
</file>

<file path=customXml/itemProps1.xml><?xml version="1.0" encoding="utf-8"?>
<ds:datastoreItem xmlns:ds="http://schemas.openxmlformats.org/officeDocument/2006/customXml" ds:itemID="{B1B5CE6A-C0B1-4E9D-A3E8-1EBCD4E12264}"/>
</file>

<file path=customXml/itemProps2.xml><?xml version="1.0" encoding="utf-8"?>
<ds:datastoreItem xmlns:ds="http://schemas.openxmlformats.org/officeDocument/2006/customXml" ds:itemID="{2268EEEE-8136-4A8E-B500-B8B448AD0CEE}"/>
</file>

<file path=customXml/itemProps3.xml><?xml version="1.0" encoding="utf-8"?>
<ds:datastoreItem xmlns:ds="http://schemas.openxmlformats.org/officeDocument/2006/customXml" ds:itemID="{B351FB55-9C66-47D9-91CF-2F756FB53C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2025-11-27T20:43:56Z</dcterms:created>
  <dcterms:modified xsi:type="dcterms:W3CDTF">2026-06-25T19:29:20Z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0x010100ECBFFD25DE53D24DBCB555C7E1239FC7</vt:lpwstr>
  </property>
</Properties>
</file>